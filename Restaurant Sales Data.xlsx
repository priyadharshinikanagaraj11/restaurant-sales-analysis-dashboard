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1.xml" ContentType="application/vnd.ms-excel.slicer+xml"/>
  <Override PartName="/xl/namedSheetViews/namedSheetView1.xml" ContentType="application/vnd.ms-excel.namedsheetview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c2d2bc868b37e78b/Documents/"/>
    </mc:Choice>
  </mc:AlternateContent>
  <xr:revisionPtr revIDLastSave="878" documentId="8_{D95D8D00-BAEF-43C0-B429-AD984BD8FA0D}" xr6:coauthVersionLast="47" xr6:coauthVersionMax="47" xr10:uidLastSave="{C31BB07F-0D53-4B85-80E1-E8B0CD54A174}"/>
  <bookViews>
    <workbookView xWindow="-108" yWindow="-108" windowWidth="23256" windowHeight="12456" firstSheet="2" activeTab="6" xr2:uid="{ECFC351B-86D5-497F-ADB2-16E457066969}"/>
  </bookViews>
  <sheets>
    <sheet name="Most selling Product" sheetId="11" r:id="rId1"/>
    <sheet name="Payment method" sheetId="9" r:id="rId2"/>
    <sheet name="City with Max revenue" sheetId="13" r:id="rId3"/>
    <sheet name="Month wise revenue" sheetId="14" r:id="rId4"/>
    <sheet name="Average of revenue" sheetId="16" r:id="rId5"/>
    <sheet name="9  Sales-Data-Analysis" sheetId="2" r:id="rId6"/>
    <sheet name="Sheet1" sheetId="1" r:id="rId7"/>
  </sheets>
  <definedNames>
    <definedName name="_xlcn.WorksheetConnection_RestaurantSalesData.xlsx_9__Sales_Data_Analysis" hidden="1">_9__Sales_Data_Analysis[]</definedName>
    <definedName name="ExternalData_1" localSheetId="5" hidden="1">'9  Sales-Data-Analysis'!$A$1:$I$255</definedName>
    <definedName name="Slicer_City">#N/A</definedName>
    <definedName name="Slicer_Payment_Method">#N/A</definedName>
    <definedName name="Slicer_Purchase_Type">#N/A</definedName>
  </definedNames>
  <calcPr calcId="191029"/>
  <pivotCaches>
    <pivotCache cacheId="1" r:id="rId8"/>
    <pivotCache cacheId="2" r:id="rId9"/>
    <pivotCache cacheId="99" r:id="rId10"/>
    <pivotCache cacheId="102" r:id="rId11"/>
    <pivotCache cacheId="105" r:id="rId12"/>
  </pivotCaches>
  <extLst>
    <ext xmlns:x14="http://schemas.microsoft.com/office/spreadsheetml/2009/9/main" uri="{876F7934-8845-4945-9796-88D515C7AA90}">
      <x14:pivotCaches>
        <pivotCache cacheId="6"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_9__Sales_Data_Analysis" name="_9__Sales_Data_Analysis" connection="WorksheetConnection_Restaurant Sales Data.xlsx!_9__Sales_Data_Analysi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55" i="2" l="1"/>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40036E-D219-43BB-86AB-86168C52CE90}" keepAlive="1" name="Query - 9  Sales-Data-Analysis" description="Connection to the '9  Sales-Data-Analysis' query in the workbook." type="5" refreshedVersion="8" background="1" saveData="1">
    <dbPr connection="Provider=Microsoft.Mashup.OleDb.1;Data Source=$Workbook$;Location=&quot;9  Sales-Data-Analysis&quot;;Extended Properties=&quot;&quot;" command="SELECT * FROM [9  Sales-Data-Analysis]"/>
  </connection>
  <connection id="2" xr16:uid="{45138BBF-BAEB-4D0B-BF07-BC98C84A650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A928A50-3511-4333-9246-4FBB82D65871}" name="WorksheetConnection_Restaurant Sales Data.xlsx!_9__Sales_Data_Analysis" type="102" refreshedVersion="8" minRefreshableVersion="5">
    <extLst>
      <ext xmlns:x15="http://schemas.microsoft.com/office/spreadsheetml/2010/11/main" uri="{DE250136-89BD-433C-8126-D09CA5730AF9}">
        <x15:connection id="_9__Sales_Data_Analysis" autoDelete="1">
          <x15:rangePr sourceName="_xlcn.WorksheetConnection_RestaurantSalesData.xlsx_9__Sales_Data_Analysis"/>
        </x15:connection>
      </ext>
    </extLst>
  </connection>
</connections>
</file>

<file path=xl/sharedStrings.xml><?xml version="1.0" encoding="utf-8"?>
<sst xmlns="http://schemas.openxmlformats.org/spreadsheetml/2006/main" count="1317" uniqueCount="49">
  <si>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</si>
  <si>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</si>
  <si>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</si>
  <si>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</si>
  <si>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</si>
  <si>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</si>
  <si>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</si>
  <si>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</si>
  <si>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</si>
  <si>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</si>
  <si>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</si>
  <si>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</si>
  <si>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</si>
  <si>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</si>
  <si>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</si>
  <si>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</si>
  <si>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</si>
  <si>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</si>
  <si>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</si>
  <si>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</si>
  <si>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</si>
  <si>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</si>
  <si>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</si>
  <si>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</si>
  <si>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</si>
  <si>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</si>
  <si>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</si>
  <si>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</si>
  <si>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</si>
  <si>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</si>
  <si>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</si>
  <si>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</si>
  <si>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</si>
  <si>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</si>
  <si>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</si>
  <si>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Joao Silva</t>
  </si>
  <si>
    <t xml:space="preserve">Drive-thru </t>
  </si>
  <si>
    <t xml:space="preserve"> Cash</t>
  </si>
  <si>
    <t>Tom Jackson</t>
  </si>
  <si>
    <t>Row Labels</t>
  </si>
  <si>
    <t>Grand Total</t>
  </si>
  <si>
    <t>Sum of Quantity</t>
  </si>
  <si>
    <t>Count of Order ID</t>
  </si>
  <si>
    <t>revenue</t>
  </si>
  <si>
    <t>Sum of revenue</t>
  </si>
  <si>
    <t>Average of revenue</t>
  </si>
  <si>
    <t>Nov</t>
  </si>
  <si>
    <t>Dec</t>
  </si>
  <si>
    <t>&lt;07-11-2022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</si>
</sst>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3" x14ac:knownFonts="1">
    <font>
      <sz val="11"/>
      <color theme="1"/>
      <name val="Arial"/>
      <family val="2"/>
      <scheme val="minor"/>
    </font>
    <font>
      <sz val="8"/>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164" formatCode="0.00;[Red]0.00"/>
    </dxf>
    <dxf>
      <numFmt numFmtId="164" formatCode="0.00;[Red]0.00"/>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Data.xlsx]Most selling Product!PivotTable11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Most selling product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'Most selling Product'!$B$3</c:f>
              <c:strCache>
                <c:ptCount val="1"/>
                <c:pt idx="0">
                  <c:v>Sum of Quantity</c:v>
                </c:pt>
              </c:strCache>
            </c:strRef>
          </c:tx>
          <c:spPr>
            <a:gradFill>
              <a:gsLst>
                <a:gs pos="100000">
                  <a:schemeClr val="accent1">
                    <a:alpha val="0"/>
                  </a:schemeClr>
                </a:gs>
                <a:gs pos="50000">
                  <a:schemeClr val="accent1"/>
                </a:gs>
              </a:gsLst>
              <a:lin ang="5400000" scaled="0"/>
            </a:gradFill>
            <a:ln>
              <a:noFill/>
            </a:ln>
            <a:effectLst/>
            <a:sp3d/>
          </c:spPr>
          <c:invertIfNegative val="0"/>
          <c:cat>
            <c:strRef>
              <c:f>'Most selling Product'!$A$4:$A$9</c:f>
              <c:strCache>
                <c:ptCount val="5"/>
                <c:pt idx="0">
                  <c:v>Beverages</c:v>
                </c:pt>
                <c:pt idx="1">
                  <c:v>Burgers</c:v>
                </c:pt>
                <c:pt idx="2">
                  <c:v>Chicken Sandwiches</c:v>
                </c:pt>
                <c:pt idx="3">
                  <c:v>Fries</c:v>
                </c:pt>
                <c:pt idx="4">
                  <c:v>Sides &amp; Other</c:v>
                </c:pt>
              </c:strCache>
            </c:strRef>
          </c:cat>
          <c:val>
            <c:numRef>
              <c:f>'Most selling Product'!$B$4:$B$9</c:f>
              <c:numCache>
                <c:formatCode>General</c:formatCode>
                <c:ptCount val="5"/>
                <c:pt idx="0">
                  <c:v>34983.14</c:v>
                </c:pt>
                <c:pt idx="1">
                  <c:v>29022.31</c:v>
                </c:pt>
                <c:pt idx="2">
                  <c:v>11135.92</c:v>
                </c:pt>
                <c:pt idx="3">
                  <c:v>32034.34</c:v>
                </c:pt>
                <c:pt idx="4">
                  <c:v>9819.6</c:v>
                </c:pt>
              </c:numCache>
            </c:numRef>
          </c:val>
          <c:extLst>
            <c:ext xmlns:c16="http://schemas.microsoft.com/office/drawing/2014/chart" uri="{C3380CC4-5D6E-409C-BE32-E72D297353CC}">
              <c16:uniqueId val="{00000000-D411-4836-917D-503A8532889F}"/>
            </c:ext>
          </c:extLst>
        </c:ser>
        <c:ser>
          <c:idx val="1"/>
          <c:order val="1"/>
          <c:tx>
            <c:strRef>
              <c:f>'Most selling Product'!$C$3</c:f>
              <c:strCache>
                <c:ptCount val="1"/>
                <c:pt idx="0">
                  <c:v>Sum of revenue</c:v>
                </c:pt>
              </c:strCache>
            </c:strRef>
          </c:tx>
          <c:spPr>
            <a:gradFill>
              <a:gsLst>
                <a:gs pos="100000">
                  <a:schemeClr val="accent2">
                    <a:alpha val="0"/>
                  </a:schemeClr>
                </a:gs>
                <a:gs pos="50000">
                  <a:schemeClr val="accent2"/>
                </a:gs>
              </a:gsLst>
              <a:lin ang="5400000" scaled="0"/>
            </a:gradFill>
            <a:ln>
              <a:noFill/>
            </a:ln>
            <a:effectLst/>
            <a:sp3d/>
          </c:spPr>
          <c:invertIfNegative val="0"/>
          <c:cat>
            <c:strRef>
              <c:f>'Most selling Product'!$A$4:$A$9</c:f>
              <c:strCache>
                <c:ptCount val="5"/>
                <c:pt idx="0">
                  <c:v>Beverages</c:v>
                </c:pt>
                <c:pt idx="1">
                  <c:v>Burgers</c:v>
                </c:pt>
                <c:pt idx="2">
                  <c:v>Chicken Sandwiches</c:v>
                </c:pt>
                <c:pt idx="3">
                  <c:v>Fries</c:v>
                </c:pt>
                <c:pt idx="4">
                  <c:v>Sides &amp; Other</c:v>
                </c:pt>
              </c:strCache>
            </c:strRef>
          </c:cat>
          <c:val>
            <c:numRef>
              <c:f>'Most selling Product'!$C$4:$C$9</c:f>
              <c:numCache>
                <c:formatCode>General</c:formatCode>
                <c:ptCount val="5"/>
                <c:pt idx="0">
                  <c:v>103200.26299999992</c:v>
                </c:pt>
                <c:pt idx="1">
                  <c:v>376999.80689999991</c:v>
                </c:pt>
                <c:pt idx="2">
                  <c:v>114641.69500000002</c:v>
                </c:pt>
                <c:pt idx="3">
                  <c:v>125674.29029999988</c:v>
                </c:pt>
                <c:pt idx="4">
                  <c:v>48999.803999999967</c:v>
                </c:pt>
              </c:numCache>
            </c:numRef>
          </c:val>
          <c:extLst>
            <c:ext xmlns:c16="http://schemas.microsoft.com/office/drawing/2014/chart" uri="{C3380CC4-5D6E-409C-BE32-E72D297353CC}">
              <c16:uniqueId val="{00000001-D411-4836-917D-503A8532889F}"/>
            </c:ext>
          </c:extLst>
        </c:ser>
        <c:dLbls>
          <c:showLegendKey val="0"/>
          <c:showVal val="0"/>
          <c:showCatName val="0"/>
          <c:showSerName val="0"/>
          <c:showPercent val="0"/>
          <c:showBubbleSize val="0"/>
        </c:dLbls>
        <c:gapWidth val="150"/>
        <c:gapDepth val="0"/>
        <c:shape val="box"/>
        <c:axId val="967960416"/>
        <c:axId val="967961856"/>
        <c:axId val="0"/>
      </c:bar3DChart>
      <c:catAx>
        <c:axId val="967960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961856"/>
        <c:crosses val="autoZero"/>
        <c:auto val="1"/>
        <c:lblAlgn val="ctr"/>
        <c:lblOffset val="100"/>
        <c:noMultiLvlLbl val="0"/>
      </c:catAx>
      <c:valAx>
        <c:axId val="96796185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96041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Data.xlsx]Payment method!PivotTable9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934579439252331E-2"/>
          <c:y val="0.23143504192326153"/>
          <c:w val="0.75661993769470404"/>
          <c:h val="0.7101991993218747"/>
        </c:manualLayout>
      </c:layout>
      <c:pie3DChart>
        <c:varyColors val="1"/>
        <c:ser>
          <c:idx val="0"/>
          <c:order val="0"/>
          <c:tx>
            <c:strRef>
              <c:f>'Payment method'!$B$3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1C4-4D59-87EE-FD9C8B10365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1C4-4D59-87EE-FD9C8B10365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1C4-4D59-87EE-FD9C8B1036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 method'!$A$4:$A$7</c:f>
              <c:strCache>
                <c:ptCount val="3"/>
                <c:pt idx="0">
                  <c:v> Cash</c:v>
                </c:pt>
                <c:pt idx="1">
                  <c:v> Credit Card</c:v>
                </c:pt>
                <c:pt idx="2">
                  <c:v> Gift Card</c:v>
                </c:pt>
              </c:strCache>
            </c:strRef>
          </c:cat>
          <c:val>
            <c:numRef>
              <c:f>'Payment method'!$B$4:$B$7</c:f>
              <c:numCache>
                <c:formatCode>General</c:formatCode>
                <c:ptCount val="3"/>
                <c:pt idx="0">
                  <c:v>76</c:v>
                </c:pt>
                <c:pt idx="1">
                  <c:v>120</c:v>
                </c:pt>
                <c:pt idx="2">
                  <c:v>58</c:v>
                </c:pt>
              </c:numCache>
            </c:numRef>
          </c:val>
          <c:extLst>
            <c:ext xmlns:c16="http://schemas.microsoft.com/office/drawing/2014/chart" uri="{C3380CC4-5D6E-409C-BE32-E72D297353CC}">
              <c16:uniqueId val="{00000000-2D31-454C-885E-49ACCF22501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Data.xlsx]City with Max revenue!PivotTable14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'City with Max 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'City with Max revenue'!$A$4:$A$9</c:f>
              <c:strCache>
                <c:ptCount val="5"/>
                <c:pt idx="0">
                  <c:v>Berlin</c:v>
                </c:pt>
                <c:pt idx="1">
                  <c:v>Lisbon</c:v>
                </c:pt>
                <c:pt idx="2">
                  <c:v>London</c:v>
                </c:pt>
                <c:pt idx="3">
                  <c:v>Madrid</c:v>
                </c:pt>
                <c:pt idx="4">
                  <c:v>Paris</c:v>
                </c:pt>
              </c:strCache>
            </c:strRef>
          </c:cat>
          <c:val>
            <c:numRef>
              <c:f>'City with Max revenue'!$B$4:$B$9</c:f>
              <c:numCache>
                <c:formatCode>General</c:formatCode>
                <c:ptCount val="5"/>
                <c:pt idx="0">
                  <c:v>100600.13129999998</c:v>
                </c:pt>
                <c:pt idx="1">
                  <c:v>241714.11570000008</c:v>
                </c:pt>
                <c:pt idx="2">
                  <c:v>211201.04059999986</c:v>
                </c:pt>
                <c:pt idx="3">
                  <c:v>136200.26649999997</c:v>
                </c:pt>
                <c:pt idx="4">
                  <c:v>79800.305099999983</c:v>
                </c:pt>
              </c:numCache>
            </c:numRef>
          </c:val>
          <c:extLst>
            <c:ext xmlns:c16="http://schemas.microsoft.com/office/drawing/2014/chart" uri="{C3380CC4-5D6E-409C-BE32-E72D297353CC}">
              <c16:uniqueId val="{00000000-4F03-4D41-85AC-24A0D9C94866}"/>
            </c:ext>
          </c:extLst>
        </c:ser>
        <c:dLbls>
          <c:dLblPos val="inEnd"/>
          <c:showLegendKey val="0"/>
          <c:showVal val="1"/>
          <c:showCatName val="0"/>
          <c:showSerName val="0"/>
          <c:showPercent val="0"/>
          <c:showBubbleSize val="0"/>
        </c:dLbls>
        <c:gapWidth val="150"/>
        <c:overlap val="100"/>
        <c:axId val="961843520"/>
        <c:axId val="961833920"/>
      </c:barChart>
      <c:catAx>
        <c:axId val="9618435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1200" b="1">
                    <a:latin typeface="Times New Roman" panose="02020603050405020304" pitchFamily="18" charset="0"/>
                    <a:cs typeface="Times New Roman" panose="02020603050405020304" pitchFamily="18" charset="0"/>
                  </a:rPr>
                  <a:t>City</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1833920"/>
        <c:crosses val="autoZero"/>
        <c:auto val="1"/>
        <c:lblAlgn val="ctr"/>
        <c:lblOffset val="100"/>
        <c:noMultiLvlLbl val="0"/>
      </c:catAx>
      <c:valAx>
        <c:axId val="9618339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sz="1100">
                    <a:latin typeface="Times New Roman" panose="02020603050405020304" pitchFamily="18" charset="0"/>
                    <a:cs typeface="Times New Roman" panose="02020603050405020304" pitchFamily="18" charset="0"/>
                  </a:rPr>
                  <a:t>Revenue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crossAx val="9618435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Data.xlsx]Month wise revenue!PivotTable15</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1">
                <a:latin typeface="Times New Roman" panose="02020603050405020304" pitchFamily="18" charset="0"/>
                <a:cs typeface="Times New Roman" panose="02020603050405020304" pitchFamily="18" charset="0"/>
              </a:rPr>
              <a:t>Month</a:t>
            </a:r>
            <a:r>
              <a:rPr lang="en-US" b="1" baseline="0">
                <a:latin typeface="Times New Roman" panose="02020603050405020304" pitchFamily="18" charset="0"/>
                <a:cs typeface="Times New Roman" panose="02020603050405020304" pitchFamily="18" charset="0"/>
              </a:rPr>
              <a:t> wise revenue</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 wise revenue'!$B$3</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'Month wise revenue'!$A$4:$A$7</c:f>
              <c:strCache>
                <c:ptCount val="3"/>
                <c:pt idx="0">
                  <c:v>&lt;07-11-2022</c:v>
                </c:pt>
                <c:pt idx="1">
                  <c:v>Nov</c:v>
                </c:pt>
                <c:pt idx="2">
                  <c:v>Dec</c:v>
                </c:pt>
              </c:strCache>
            </c:strRef>
          </c:cat>
          <c:val>
            <c:numRef>
              <c:f>'Month wise revenue'!$B$4:$B$7</c:f>
              <c:numCache>
                <c:formatCode>General</c:formatCode>
                <c:ptCount val="3"/>
                <c:pt idx="1">
                  <c:v>332114.65840000019</c:v>
                </c:pt>
                <c:pt idx="2">
                  <c:v>437401.20079999993</c:v>
                </c:pt>
              </c:numCache>
            </c:numRef>
          </c:val>
          <c:extLst>
            <c:ext xmlns:c16="http://schemas.microsoft.com/office/drawing/2014/chart" uri="{C3380CC4-5D6E-409C-BE32-E72D297353CC}">
              <c16:uniqueId val="{00000000-6059-43BD-A7C8-43E917BD7D22}"/>
            </c:ext>
          </c:extLst>
        </c:ser>
        <c:dLbls>
          <c:showLegendKey val="0"/>
          <c:showVal val="0"/>
          <c:showCatName val="0"/>
          <c:showSerName val="0"/>
          <c:showPercent val="0"/>
          <c:showBubbleSize val="0"/>
        </c:dLbls>
        <c:axId val="965384320"/>
        <c:axId val="965385280"/>
      </c:areaChart>
      <c:catAx>
        <c:axId val="965384320"/>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965385280"/>
        <c:crosses val="autoZero"/>
        <c:auto val="1"/>
        <c:lblAlgn val="ctr"/>
        <c:lblOffset val="100"/>
        <c:noMultiLvlLbl val="0"/>
      </c:catAx>
      <c:valAx>
        <c:axId val="965385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sz="1100" b="1">
                    <a:latin typeface="Times New Roman" panose="02020603050405020304" pitchFamily="18" charset="0"/>
                    <a:cs typeface="Times New Roman" panose="02020603050405020304" pitchFamily="18" charset="0"/>
                  </a:rPr>
                  <a:t>Revenue</a:t>
                </a:r>
                <a:endParaRPr lang="en-IN" b="1">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843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Data.xlsx]Average of revenue!PivotTable17</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800" b="1">
                <a:latin typeface="Times New Roman" panose="02020603050405020304" pitchFamily="18" charset="0"/>
                <a:cs typeface="Times New Roman" panose="02020603050405020304" pitchFamily="18" charset="0"/>
              </a:rPr>
              <a:t>Average</a:t>
            </a:r>
            <a:r>
              <a:rPr lang="en-US" sz="1800">
                <a:latin typeface="Times New Roman" panose="02020603050405020304" pitchFamily="18" charset="0"/>
                <a:cs typeface="Times New Roman" panose="02020603050405020304" pitchFamily="18" charset="0"/>
              </a:rPr>
              <a:t> </a:t>
            </a:r>
            <a:r>
              <a:rPr lang="en-US" sz="1800" b="1">
                <a:latin typeface="Times New Roman" panose="02020603050405020304" pitchFamily="18" charset="0"/>
                <a:cs typeface="Times New Roman" panose="02020603050405020304" pitchFamily="18" charset="0"/>
              </a:rPr>
              <a:t>of</a:t>
            </a:r>
            <a:r>
              <a:rPr lang="en-US" sz="1800">
                <a:latin typeface="Times New Roman" panose="02020603050405020304" pitchFamily="18" charset="0"/>
                <a:cs typeface="Times New Roman" panose="02020603050405020304" pitchFamily="18" charset="0"/>
              </a:rPr>
              <a:t> </a:t>
            </a:r>
            <a:r>
              <a:rPr lang="en-US" sz="1800" b="1">
                <a:latin typeface="Times New Roman" panose="02020603050405020304" pitchFamily="18" charset="0"/>
                <a:cs typeface="Times New Roman" panose="02020603050405020304" pitchFamily="18" charset="0"/>
              </a:rPr>
              <a:t>revenue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10000"/>
                  <a:satMod val="300000"/>
                </a:schemeClr>
              </a:gs>
              <a:gs pos="34000">
                <a:schemeClr val="accent1">
                  <a:tint val="13500"/>
                  <a:satMod val="250000"/>
                </a:schemeClr>
              </a:gs>
              <a:gs pos="100000">
                <a:schemeClr val="accent1">
                  <a:tint val="60000"/>
                  <a:satMod val="200000"/>
                </a:schemeClr>
              </a:gs>
            </a:gsLst>
            <a:path path="circle">
              <a:fillToRect l="50000" t="155000" r="50000" b="-55000"/>
            </a:path>
          </a:gradFill>
          <a:ln w="9525" cap="flat" cmpd="sng" algn="ctr">
            <a:solidFill>
              <a:schemeClr val="accent1">
                <a:shade val="95000"/>
              </a:schemeClr>
            </a:solidFill>
            <a:round/>
          </a:ln>
          <a:effectLst>
            <a:outerShdw blurRad="63500" dist="25400" dir="14700000" algn="t" rotWithShape="0">
              <a:srgbClr val="00000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10000"/>
                  <a:satMod val="300000"/>
                </a:schemeClr>
              </a:gs>
              <a:gs pos="34000">
                <a:schemeClr val="accent1">
                  <a:tint val="13500"/>
                  <a:satMod val="250000"/>
                </a:schemeClr>
              </a:gs>
              <a:gs pos="100000">
                <a:schemeClr val="accent1">
                  <a:tint val="60000"/>
                  <a:satMod val="200000"/>
                </a:schemeClr>
              </a:gs>
            </a:gsLst>
            <a:path path="circle">
              <a:fillToRect l="50000" t="155000" r="50000" b="-55000"/>
            </a:path>
          </a:gradFill>
          <a:ln w="9525" cap="flat" cmpd="sng" algn="ctr">
            <a:solidFill>
              <a:schemeClr val="accent1">
                <a:shade val="95000"/>
              </a:schemeClr>
            </a:solidFill>
            <a:round/>
          </a:ln>
          <a:effectLst>
            <a:outerShdw blurRad="63500" dist="25400" dir="14700000" algn="t" rotWithShape="0">
              <a:srgbClr val="000000">
                <a:alpha val="50000"/>
              </a:srgbClr>
            </a:outerShdw>
          </a:effectLst>
        </c:spPr>
      </c:pivotFmt>
      <c:pivotFmt>
        <c:idx val="2"/>
        <c:spPr>
          <a:gradFill rotWithShape="1">
            <a:gsLst>
              <a:gs pos="0">
                <a:schemeClr val="accent1">
                  <a:tint val="10000"/>
                  <a:satMod val="300000"/>
                </a:schemeClr>
              </a:gs>
              <a:gs pos="34000">
                <a:schemeClr val="accent1">
                  <a:tint val="13500"/>
                  <a:satMod val="250000"/>
                </a:schemeClr>
              </a:gs>
              <a:gs pos="100000">
                <a:schemeClr val="accent1">
                  <a:tint val="60000"/>
                  <a:satMod val="200000"/>
                </a:schemeClr>
              </a:gs>
            </a:gsLst>
            <a:path path="circle">
              <a:fillToRect l="50000" t="155000" r="50000" b="-55000"/>
            </a:path>
          </a:gradFill>
          <a:ln w="9525" cap="flat" cmpd="sng" algn="ctr">
            <a:solidFill>
              <a:schemeClr val="accent1">
                <a:shade val="95000"/>
              </a:schemeClr>
            </a:solidFill>
            <a:round/>
          </a:ln>
          <a:effectLst>
            <a:outerShdw blurRad="63500" dist="25400" dir="14700000" algn="t" rotWithShape="0">
              <a:srgbClr val="000000">
                <a:alpha val="50000"/>
              </a:srgbClr>
            </a:outerShdw>
          </a:effectLst>
        </c:spPr>
      </c:pivotFmt>
      <c:pivotFmt>
        <c:idx val="3"/>
        <c:spPr>
          <a:gradFill rotWithShape="1">
            <a:gsLst>
              <a:gs pos="0">
                <a:schemeClr val="accent1">
                  <a:tint val="10000"/>
                  <a:satMod val="300000"/>
                </a:schemeClr>
              </a:gs>
              <a:gs pos="34000">
                <a:schemeClr val="accent1">
                  <a:tint val="13500"/>
                  <a:satMod val="250000"/>
                </a:schemeClr>
              </a:gs>
              <a:gs pos="100000">
                <a:schemeClr val="accent1">
                  <a:tint val="60000"/>
                  <a:satMod val="200000"/>
                </a:schemeClr>
              </a:gs>
            </a:gsLst>
            <a:path path="circle">
              <a:fillToRect l="50000" t="155000" r="50000" b="-55000"/>
            </a:path>
          </a:gradFill>
          <a:ln w="9525" cap="flat" cmpd="sng" algn="ctr">
            <a:solidFill>
              <a:schemeClr val="accent1">
                <a:shade val="95000"/>
              </a:schemeClr>
            </a:solidFill>
            <a:round/>
          </a:ln>
          <a:effectLst>
            <a:outerShdw blurRad="63500" dist="25400" dir="14700000" algn="t" rotWithShape="0">
              <a:srgbClr val="000000">
                <a:alpha val="50000"/>
              </a:srgbClr>
            </a:outerShdw>
          </a:effectLst>
        </c:spPr>
      </c:pivotFmt>
      <c:pivotFmt>
        <c:idx val="4"/>
        <c:spPr>
          <a:gradFill rotWithShape="1">
            <a:gsLst>
              <a:gs pos="0">
                <a:schemeClr val="accent1">
                  <a:tint val="10000"/>
                  <a:satMod val="300000"/>
                </a:schemeClr>
              </a:gs>
              <a:gs pos="34000">
                <a:schemeClr val="accent1">
                  <a:tint val="13500"/>
                  <a:satMod val="250000"/>
                </a:schemeClr>
              </a:gs>
              <a:gs pos="100000">
                <a:schemeClr val="accent1">
                  <a:tint val="60000"/>
                  <a:satMod val="200000"/>
                </a:schemeClr>
              </a:gs>
            </a:gsLst>
            <a:path path="circle">
              <a:fillToRect l="50000" t="155000" r="50000" b="-55000"/>
            </a:path>
          </a:gradFill>
          <a:ln w="9525" cap="flat" cmpd="sng" algn="ctr">
            <a:solidFill>
              <a:schemeClr val="accent1">
                <a:shade val="95000"/>
              </a:schemeClr>
            </a:solidFill>
            <a:round/>
          </a:ln>
          <a:effectLst>
            <a:outerShdw blurRad="63500" dist="25400" dir="14700000" algn="t" rotWithShape="0">
              <a:srgbClr val="000000">
                <a:alpha val="50000"/>
              </a:srgbClr>
            </a:outerShdw>
          </a:effectLst>
        </c:spPr>
      </c:pivotFmt>
      <c:pivotFmt>
        <c:idx val="5"/>
        <c:spPr>
          <a:gradFill rotWithShape="1">
            <a:gsLst>
              <a:gs pos="0">
                <a:schemeClr val="accent1">
                  <a:tint val="10000"/>
                  <a:satMod val="300000"/>
                </a:schemeClr>
              </a:gs>
              <a:gs pos="34000">
                <a:schemeClr val="accent1">
                  <a:tint val="13500"/>
                  <a:satMod val="250000"/>
                </a:schemeClr>
              </a:gs>
              <a:gs pos="100000">
                <a:schemeClr val="accent1">
                  <a:tint val="60000"/>
                  <a:satMod val="200000"/>
                </a:schemeClr>
              </a:gs>
            </a:gsLst>
            <a:path path="circle">
              <a:fillToRect l="50000" t="155000" r="50000" b="-55000"/>
            </a:path>
          </a:gradFill>
          <a:ln w="9525" cap="flat" cmpd="sng" algn="ctr">
            <a:solidFill>
              <a:schemeClr val="accent1">
                <a:shade val="95000"/>
              </a:schemeClr>
            </a:solidFill>
            <a:round/>
          </a:ln>
          <a:effectLst>
            <a:outerShdw blurRad="63500" dist="25400" dir="14700000" algn="t" rotWithShape="0">
              <a:srgbClr val="000000">
                <a:alpha val="50000"/>
              </a:srgbClr>
            </a:outerShdw>
          </a:effectLst>
        </c:spPr>
      </c:pivotFmt>
    </c:pivotFmts>
    <c:plotArea>
      <c:layout/>
      <c:ofPieChart>
        <c:ofPieType val="bar"/>
        <c:varyColors val="1"/>
        <c:ser>
          <c:idx val="0"/>
          <c:order val="0"/>
          <c:tx>
            <c:strRef>
              <c:f>'Average of revenue'!$B$3</c:f>
              <c:strCache>
                <c:ptCount val="1"/>
                <c:pt idx="0">
                  <c:v>Total</c:v>
                </c:pt>
              </c:strCache>
            </c:strRef>
          </c:tx>
          <c:dPt>
            <c:idx val="0"/>
            <c:bubble3D val="0"/>
            <c:spPr>
              <a:gradFill rotWithShape="1">
                <a:gsLst>
                  <a:gs pos="0">
                    <a:schemeClr val="accent1">
                      <a:tint val="10000"/>
                      <a:satMod val="300000"/>
                    </a:schemeClr>
                  </a:gs>
                  <a:gs pos="34000">
                    <a:schemeClr val="accent1">
                      <a:tint val="13500"/>
                      <a:satMod val="250000"/>
                    </a:schemeClr>
                  </a:gs>
                  <a:gs pos="100000">
                    <a:schemeClr val="accent1">
                      <a:tint val="60000"/>
                      <a:satMod val="200000"/>
                    </a:schemeClr>
                  </a:gs>
                </a:gsLst>
                <a:path path="circle">
                  <a:fillToRect l="50000" t="155000" r="50000" b="-55000"/>
                </a:path>
              </a:gradFill>
              <a:ln w="9525" cap="flat" cmpd="sng" algn="ctr">
                <a:solidFill>
                  <a:schemeClr val="accent1">
                    <a:shade val="95000"/>
                  </a:schemeClr>
                </a:solidFill>
                <a:round/>
              </a:ln>
              <a:effectLst>
                <a:outerShdw blurRad="63500" dist="25400" dir="14700000" algn="t" rotWithShape="0">
                  <a:srgbClr val="000000">
                    <a:alpha val="50000"/>
                  </a:srgbClr>
                </a:outerShdw>
              </a:effectLst>
            </c:spPr>
            <c:extLst>
              <c:ext xmlns:c16="http://schemas.microsoft.com/office/drawing/2014/chart" uri="{C3380CC4-5D6E-409C-BE32-E72D297353CC}">
                <c16:uniqueId val="{00000001-A7D6-4B98-A5A5-402019E080D6}"/>
              </c:ext>
            </c:extLst>
          </c:dPt>
          <c:dPt>
            <c:idx val="1"/>
            <c:bubble3D val="0"/>
            <c:spPr>
              <a:gradFill rotWithShape="1">
                <a:gsLst>
                  <a:gs pos="0">
                    <a:schemeClr val="accent2">
                      <a:tint val="10000"/>
                      <a:satMod val="300000"/>
                    </a:schemeClr>
                  </a:gs>
                  <a:gs pos="34000">
                    <a:schemeClr val="accent2">
                      <a:tint val="13500"/>
                      <a:satMod val="250000"/>
                    </a:schemeClr>
                  </a:gs>
                  <a:gs pos="100000">
                    <a:schemeClr val="accent2">
                      <a:tint val="60000"/>
                      <a:satMod val="200000"/>
                    </a:schemeClr>
                  </a:gs>
                </a:gsLst>
                <a:path path="circle">
                  <a:fillToRect l="50000" t="155000" r="50000" b="-55000"/>
                </a:path>
              </a:gradFill>
              <a:ln w="9525" cap="flat" cmpd="sng" algn="ctr">
                <a:solidFill>
                  <a:schemeClr val="accent2">
                    <a:shade val="95000"/>
                  </a:schemeClr>
                </a:solidFill>
                <a:round/>
              </a:ln>
              <a:effectLst>
                <a:outerShdw blurRad="63500" dist="25400" dir="14700000" algn="t" rotWithShape="0">
                  <a:srgbClr val="000000">
                    <a:alpha val="50000"/>
                  </a:srgbClr>
                </a:outerShdw>
              </a:effectLst>
            </c:spPr>
            <c:extLst>
              <c:ext xmlns:c16="http://schemas.microsoft.com/office/drawing/2014/chart" uri="{C3380CC4-5D6E-409C-BE32-E72D297353CC}">
                <c16:uniqueId val="{00000003-A7D6-4B98-A5A5-402019E080D6}"/>
              </c:ext>
            </c:extLst>
          </c:dPt>
          <c:dPt>
            <c:idx val="2"/>
            <c:bubble3D val="0"/>
            <c:spPr>
              <a:gradFill rotWithShape="1">
                <a:gsLst>
                  <a:gs pos="0">
                    <a:schemeClr val="accent3">
                      <a:tint val="10000"/>
                      <a:satMod val="300000"/>
                    </a:schemeClr>
                  </a:gs>
                  <a:gs pos="34000">
                    <a:schemeClr val="accent3">
                      <a:tint val="13500"/>
                      <a:satMod val="250000"/>
                    </a:schemeClr>
                  </a:gs>
                  <a:gs pos="100000">
                    <a:schemeClr val="accent3">
                      <a:tint val="60000"/>
                      <a:satMod val="200000"/>
                    </a:schemeClr>
                  </a:gs>
                </a:gsLst>
                <a:path path="circle">
                  <a:fillToRect l="50000" t="155000" r="50000" b="-55000"/>
                </a:path>
              </a:gradFill>
              <a:ln w="9525" cap="flat" cmpd="sng" algn="ctr">
                <a:solidFill>
                  <a:schemeClr val="accent3">
                    <a:shade val="95000"/>
                  </a:schemeClr>
                </a:solidFill>
                <a:round/>
              </a:ln>
              <a:effectLst>
                <a:outerShdw blurRad="63500" dist="25400" dir="14700000" algn="t" rotWithShape="0">
                  <a:srgbClr val="000000">
                    <a:alpha val="50000"/>
                  </a:srgbClr>
                </a:outerShdw>
              </a:effectLst>
            </c:spPr>
            <c:extLst>
              <c:ext xmlns:c16="http://schemas.microsoft.com/office/drawing/2014/chart" uri="{C3380CC4-5D6E-409C-BE32-E72D297353CC}">
                <c16:uniqueId val="{00000005-A7D6-4B98-A5A5-402019E080D6}"/>
              </c:ext>
            </c:extLst>
          </c:dPt>
          <c:dPt>
            <c:idx val="3"/>
            <c:bubble3D val="0"/>
            <c:spPr>
              <a:gradFill rotWithShape="1">
                <a:gsLst>
                  <a:gs pos="0">
                    <a:schemeClr val="accent4">
                      <a:tint val="10000"/>
                      <a:satMod val="300000"/>
                    </a:schemeClr>
                  </a:gs>
                  <a:gs pos="34000">
                    <a:schemeClr val="accent4">
                      <a:tint val="13500"/>
                      <a:satMod val="250000"/>
                    </a:schemeClr>
                  </a:gs>
                  <a:gs pos="100000">
                    <a:schemeClr val="accent4">
                      <a:tint val="60000"/>
                      <a:satMod val="200000"/>
                    </a:schemeClr>
                  </a:gs>
                </a:gsLst>
                <a:path path="circle">
                  <a:fillToRect l="50000" t="155000" r="50000" b="-55000"/>
                </a:path>
              </a:gradFill>
              <a:ln w="9525" cap="flat" cmpd="sng" algn="ctr">
                <a:solidFill>
                  <a:schemeClr val="accent4">
                    <a:shade val="95000"/>
                  </a:schemeClr>
                </a:solidFill>
                <a:round/>
              </a:ln>
              <a:effectLst>
                <a:outerShdw blurRad="63500" dist="25400" dir="14700000" algn="t" rotWithShape="0">
                  <a:srgbClr val="000000">
                    <a:alpha val="50000"/>
                  </a:srgbClr>
                </a:outerShdw>
              </a:effectLst>
            </c:spPr>
            <c:extLst>
              <c:ext xmlns:c16="http://schemas.microsoft.com/office/drawing/2014/chart" uri="{C3380CC4-5D6E-409C-BE32-E72D297353CC}">
                <c16:uniqueId val="{00000007-A7D6-4B98-A5A5-402019E080D6}"/>
              </c:ext>
            </c:extLst>
          </c:dPt>
          <c:dPt>
            <c:idx val="4"/>
            <c:bubble3D val="0"/>
            <c:spPr>
              <a:gradFill rotWithShape="1">
                <a:gsLst>
                  <a:gs pos="0">
                    <a:schemeClr val="accent5">
                      <a:tint val="10000"/>
                      <a:satMod val="300000"/>
                    </a:schemeClr>
                  </a:gs>
                  <a:gs pos="34000">
                    <a:schemeClr val="accent5">
                      <a:tint val="13500"/>
                      <a:satMod val="250000"/>
                    </a:schemeClr>
                  </a:gs>
                  <a:gs pos="100000">
                    <a:schemeClr val="accent5">
                      <a:tint val="60000"/>
                      <a:satMod val="200000"/>
                    </a:schemeClr>
                  </a:gs>
                </a:gsLst>
                <a:path path="circle">
                  <a:fillToRect l="50000" t="155000" r="50000" b="-55000"/>
                </a:path>
              </a:gradFill>
              <a:ln w="9525" cap="flat" cmpd="sng" algn="ctr">
                <a:solidFill>
                  <a:schemeClr val="accent5">
                    <a:shade val="95000"/>
                  </a:schemeClr>
                </a:solidFill>
                <a:round/>
              </a:ln>
              <a:effectLst>
                <a:outerShdw blurRad="63500" dist="25400" dir="14700000" algn="t" rotWithShape="0">
                  <a:srgbClr val="000000">
                    <a:alpha val="50000"/>
                  </a:srgbClr>
                </a:outerShdw>
              </a:effectLst>
            </c:spPr>
            <c:extLst>
              <c:ext xmlns:c16="http://schemas.microsoft.com/office/drawing/2014/chart" uri="{C3380CC4-5D6E-409C-BE32-E72D297353CC}">
                <c16:uniqueId val="{00000009-A7D6-4B98-A5A5-402019E080D6}"/>
              </c:ext>
            </c:extLst>
          </c:dPt>
          <c:dPt>
            <c:idx val="5"/>
            <c:bubble3D val="0"/>
            <c:spPr>
              <a:gradFill rotWithShape="1">
                <a:gsLst>
                  <a:gs pos="0">
                    <a:schemeClr val="accent6">
                      <a:tint val="10000"/>
                      <a:satMod val="300000"/>
                    </a:schemeClr>
                  </a:gs>
                  <a:gs pos="34000">
                    <a:schemeClr val="accent6">
                      <a:tint val="13500"/>
                      <a:satMod val="250000"/>
                    </a:schemeClr>
                  </a:gs>
                  <a:gs pos="100000">
                    <a:schemeClr val="accent6">
                      <a:tint val="60000"/>
                      <a:satMod val="200000"/>
                    </a:schemeClr>
                  </a:gs>
                </a:gsLst>
                <a:path path="circle">
                  <a:fillToRect l="50000" t="155000" r="50000" b="-55000"/>
                </a:path>
              </a:gradFill>
              <a:ln w="9525" cap="flat" cmpd="sng" algn="ctr">
                <a:solidFill>
                  <a:schemeClr val="accent6">
                    <a:shade val="95000"/>
                  </a:schemeClr>
                </a:solidFill>
                <a:round/>
              </a:ln>
              <a:effectLst>
                <a:outerShdw blurRad="63500" dist="25400" dir="14700000" algn="t" rotWithShape="0">
                  <a:srgbClr val="000000">
                    <a:alpha val="50000"/>
                  </a:srgbClr>
                </a:outerShdw>
              </a:effectLst>
            </c:spPr>
            <c:extLst>
              <c:ext xmlns:c16="http://schemas.microsoft.com/office/drawing/2014/chart" uri="{C3380CC4-5D6E-409C-BE32-E72D297353CC}">
                <c16:uniqueId val="{0000000B-A7D6-4B98-A5A5-402019E080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'Average of revenue'!$A$4:$A$9</c:f>
              <c:strCache>
                <c:ptCount val="5"/>
                <c:pt idx="0">
                  <c:v>Berlin</c:v>
                </c:pt>
                <c:pt idx="1">
                  <c:v>Lisbon</c:v>
                </c:pt>
                <c:pt idx="2">
                  <c:v>London</c:v>
                </c:pt>
                <c:pt idx="3">
                  <c:v>Madrid</c:v>
                </c:pt>
                <c:pt idx="4">
                  <c:v>Paris</c:v>
                </c:pt>
              </c:strCache>
            </c:strRef>
          </c:cat>
          <c:val>
            <c:numRef>
              <c:f>'Average of revenue'!$B$4:$B$9</c:f>
              <c:numCache>
                <c:formatCode>General</c:formatCode>
                <c:ptCount val="5"/>
                <c:pt idx="0">
                  <c:v>3353.3377099999993</c:v>
                </c:pt>
                <c:pt idx="1">
                  <c:v>3222.8548760000012</c:v>
                </c:pt>
                <c:pt idx="2">
                  <c:v>2816.0138746666648</c:v>
                </c:pt>
                <c:pt idx="3">
                  <c:v>2960.8753586956514</c:v>
                </c:pt>
                <c:pt idx="4">
                  <c:v>2850.010896428571</c:v>
                </c:pt>
              </c:numCache>
            </c:numRef>
          </c:val>
          <c:extLst>
            <c:ext xmlns:c16="http://schemas.microsoft.com/office/drawing/2014/chart" uri="{C3380CC4-5D6E-409C-BE32-E72D297353CC}">
              <c16:uniqueId val="{00000000-40A1-48ED-AFE0-4A8CDB49C9AB}"/>
            </c:ext>
          </c:extLst>
        </c:ser>
        <c:dLbls>
          <c:dLblPos val="inEnd"/>
          <c:showLegendKey val="0"/>
          <c:showVal val="0"/>
          <c:showCatName val="0"/>
          <c:showSerName val="0"/>
          <c:showPercent val="1"/>
          <c:showBubbleSize val="0"/>
          <c:showLeaderLines val="1"/>
        </c:dLbls>
        <c:gapWidth val="100"/>
        <c:secondPieSize val="75"/>
        <c:serLines>
          <c:spPr>
            <a:ln w="9525">
              <a:solidFill>
                <a:schemeClr val="tx1">
                  <a:lumMod val="35000"/>
                  <a:lumOff val="65000"/>
                </a:schemeClr>
              </a:solidFill>
              <a:prstDash val="dash"/>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Data.xlsx]Most selling Product!PivotTable11</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solidFill>
                  <a:sysClr val="windowText" lastClr="000000"/>
                </a:solidFill>
              </a:rPr>
              <a:t>Most selling product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'Most selling Product'!$B$3</c:f>
              <c:strCache>
                <c:ptCount val="1"/>
                <c:pt idx="0">
                  <c:v>Sum of Quantity</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'Most selling Product'!$A$4:$A$9</c:f>
              <c:strCache>
                <c:ptCount val="5"/>
                <c:pt idx="0">
                  <c:v>Beverages</c:v>
                </c:pt>
                <c:pt idx="1">
                  <c:v>Burgers</c:v>
                </c:pt>
                <c:pt idx="2">
                  <c:v>Chicken Sandwiches</c:v>
                </c:pt>
                <c:pt idx="3">
                  <c:v>Fries</c:v>
                </c:pt>
                <c:pt idx="4">
                  <c:v>Sides &amp; Other</c:v>
                </c:pt>
              </c:strCache>
            </c:strRef>
          </c:cat>
          <c:val>
            <c:numRef>
              <c:f>'Most selling Product'!$B$4:$B$9</c:f>
              <c:numCache>
                <c:formatCode>General</c:formatCode>
                <c:ptCount val="5"/>
                <c:pt idx="0">
                  <c:v>34983.14</c:v>
                </c:pt>
                <c:pt idx="1">
                  <c:v>29022.31</c:v>
                </c:pt>
                <c:pt idx="2">
                  <c:v>11135.92</c:v>
                </c:pt>
                <c:pt idx="3">
                  <c:v>32034.34</c:v>
                </c:pt>
                <c:pt idx="4">
                  <c:v>9819.6</c:v>
                </c:pt>
              </c:numCache>
            </c:numRef>
          </c:val>
          <c:extLst>
            <c:ext xmlns:c16="http://schemas.microsoft.com/office/drawing/2014/chart" uri="{C3380CC4-5D6E-409C-BE32-E72D297353CC}">
              <c16:uniqueId val="{00000003-DA45-4FAA-8C20-876E6B20D0CE}"/>
            </c:ext>
          </c:extLst>
        </c:ser>
        <c:ser>
          <c:idx val="1"/>
          <c:order val="1"/>
          <c:tx>
            <c:strRef>
              <c:f>'Most selling Product'!$C$3</c:f>
              <c:strCache>
                <c:ptCount val="1"/>
                <c:pt idx="0">
                  <c:v>Sum of revenue</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'Most selling Product'!$A$4:$A$9</c:f>
              <c:strCache>
                <c:ptCount val="5"/>
                <c:pt idx="0">
                  <c:v>Beverages</c:v>
                </c:pt>
                <c:pt idx="1">
                  <c:v>Burgers</c:v>
                </c:pt>
                <c:pt idx="2">
                  <c:v>Chicken Sandwiches</c:v>
                </c:pt>
                <c:pt idx="3">
                  <c:v>Fries</c:v>
                </c:pt>
                <c:pt idx="4">
                  <c:v>Sides &amp; Other</c:v>
                </c:pt>
              </c:strCache>
            </c:strRef>
          </c:cat>
          <c:val>
            <c:numRef>
              <c:f>'Most selling Product'!$C$4:$C$9</c:f>
              <c:numCache>
                <c:formatCode>General</c:formatCode>
                <c:ptCount val="5"/>
                <c:pt idx="0">
                  <c:v>103200.26299999992</c:v>
                </c:pt>
                <c:pt idx="1">
                  <c:v>376999.80689999991</c:v>
                </c:pt>
                <c:pt idx="2">
                  <c:v>114641.69500000002</c:v>
                </c:pt>
                <c:pt idx="3">
                  <c:v>125674.29029999988</c:v>
                </c:pt>
                <c:pt idx="4">
                  <c:v>48999.803999999967</c:v>
                </c:pt>
              </c:numCache>
            </c:numRef>
          </c:val>
          <c:extLst>
            <c:ext xmlns:c16="http://schemas.microsoft.com/office/drawing/2014/chart" uri="{C3380CC4-5D6E-409C-BE32-E72D297353CC}">
              <c16:uniqueId val="{00000005-DA45-4FAA-8C20-876E6B20D0CE}"/>
            </c:ext>
          </c:extLst>
        </c:ser>
        <c:dLbls>
          <c:showLegendKey val="0"/>
          <c:showVal val="1"/>
          <c:showCatName val="0"/>
          <c:showSerName val="0"/>
          <c:showPercent val="0"/>
          <c:showBubbleSize val="0"/>
        </c:dLbls>
        <c:gapWidth val="150"/>
        <c:gapDepth val="0"/>
        <c:shape val="box"/>
        <c:axId val="967960416"/>
        <c:axId val="967961856"/>
        <c:axId val="0"/>
      </c:bar3DChart>
      <c:catAx>
        <c:axId val="967960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961856"/>
        <c:crosses val="autoZero"/>
        <c:auto val="1"/>
        <c:lblAlgn val="ctr"/>
        <c:lblOffset val="100"/>
        <c:noMultiLvlLbl val="0"/>
      </c:catAx>
      <c:valAx>
        <c:axId val="96796185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96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Data.xlsx]Payment method!PivotTable9</c:name>
    <c:fmtId val="9"/>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ysClr val="windowText" lastClr="000000"/>
                </a:solidFill>
              </a:rPr>
              <a:t>Payment method</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934627137218005E-2"/>
          <c:y val="0.20292525207433587"/>
          <c:w val="0.75661993769470404"/>
          <c:h val="0.7101991993218747"/>
        </c:manualLayout>
      </c:layout>
      <c:pie3DChart>
        <c:varyColors val="1"/>
        <c:ser>
          <c:idx val="0"/>
          <c:order val="0"/>
          <c:tx>
            <c:strRef>
              <c:f>'Payment method'!$B$3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B488-4EF3-B611-47D5C9D2820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488-4EF3-B611-47D5C9D2820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488-4EF3-B611-47D5C9D2820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1-B488-4EF3-B611-47D5C9D2820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B488-4EF3-B611-47D5C9D2820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B488-4EF3-B611-47D5C9D2820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method'!$A$4:$A$7</c:f>
              <c:strCache>
                <c:ptCount val="3"/>
                <c:pt idx="0">
                  <c:v> Cash</c:v>
                </c:pt>
                <c:pt idx="1">
                  <c:v> Credit Card</c:v>
                </c:pt>
                <c:pt idx="2">
                  <c:v> Gift Card</c:v>
                </c:pt>
              </c:strCache>
            </c:strRef>
          </c:cat>
          <c:val>
            <c:numRef>
              <c:f>'Payment method'!$B$4:$B$7</c:f>
              <c:numCache>
                <c:formatCode>General</c:formatCode>
                <c:ptCount val="3"/>
                <c:pt idx="0">
                  <c:v>76</c:v>
                </c:pt>
                <c:pt idx="1">
                  <c:v>120</c:v>
                </c:pt>
                <c:pt idx="2">
                  <c:v>58</c:v>
                </c:pt>
              </c:numCache>
            </c:numRef>
          </c:val>
          <c:extLst>
            <c:ext xmlns:c16="http://schemas.microsoft.com/office/drawing/2014/chart" uri="{C3380CC4-5D6E-409C-BE32-E72D297353CC}">
              <c16:uniqueId val="{00000006-B488-4EF3-B611-47D5C9D28202}"/>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Data.xlsx]City with Max revenue!PivotTable14</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dLbl>
          <c:idx val="0"/>
          <c:layout>
            <c:manualLayout>
              <c:x val="3.7271141981920683E-3"/>
              <c:y val="-0.15472506908565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dLbl>
          <c:idx val="0"/>
          <c:layout>
            <c:manualLayout>
              <c:x val="9.3177854954802145E-3"/>
              <c:y val="-0.305582011444172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dLbl>
          <c:idx val="0"/>
          <c:layout>
            <c:manualLayout>
              <c:x val="9.3177854954802145E-3"/>
              <c:y val="-0.278505124354182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dLbl>
          <c:idx val="0"/>
          <c:layout>
            <c:manualLayout>
              <c:x val="1.118134259457612E-2"/>
              <c:y val="-0.22821947690134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dLbl>
          <c:idx val="0"/>
          <c:layout>
            <c:manualLayout>
              <c:x val="-1.366592752341007E-16"/>
              <c:y val="-0.15859319581279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'City with Max revenue'!$B$3</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dPt>
            <c:idx val="0"/>
            <c:invertIfNegative val="0"/>
            <c:bubble3D val="0"/>
            <c:extLst>
              <c:ext xmlns:c16="http://schemas.microsoft.com/office/drawing/2014/chart" uri="{C3380CC4-5D6E-409C-BE32-E72D297353CC}">
                <c16:uniqueId val="{00000000-4232-4607-9D2E-8690C0DC9F60}"/>
              </c:ext>
            </c:extLst>
          </c:dPt>
          <c:dPt>
            <c:idx val="1"/>
            <c:invertIfNegative val="0"/>
            <c:bubble3D val="0"/>
            <c:extLst>
              <c:ext xmlns:c16="http://schemas.microsoft.com/office/drawing/2014/chart" uri="{C3380CC4-5D6E-409C-BE32-E72D297353CC}">
                <c16:uniqueId val="{00000001-4232-4607-9D2E-8690C0DC9F60}"/>
              </c:ext>
            </c:extLst>
          </c:dPt>
          <c:dPt>
            <c:idx val="2"/>
            <c:invertIfNegative val="0"/>
            <c:bubble3D val="0"/>
            <c:extLst>
              <c:ext xmlns:c16="http://schemas.microsoft.com/office/drawing/2014/chart" uri="{C3380CC4-5D6E-409C-BE32-E72D297353CC}">
                <c16:uniqueId val="{00000002-4232-4607-9D2E-8690C0DC9F60}"/>
              </c:ext>
            </c:extLst>
          </c:dPt>
          <c:dPt>
            <c:idx val="3"/>
            <c:invertIfNegative val="0"/>
            <c:bubble3D val="0"/>
            <c:extLst>
              <c:ext xmlns:c16="http://schemas.microsoft.com/office/drawing/2014/chart" uri="{C3380CC4-5D6E-409C-BE32-E72D297353CC}">
                <c16:uniqueId val="{00000003-4232-4607-9D2E-8690C0DC9F60}"/>
              </c:ext>
            </c:extLst>
          </c:dPt>
          <c:dPt>
            <c:idx val="4"/>
            <c:invertIfNegative val="0"/>
            <c:bubble3D val="0"/>
            <c:extLst>
              <c:ext xmlns:c16="http://schemas.microsoft.com/office/drawing/2014/chart" uri="{C3380CC4-5D6E-409C-BE32-E72D297353CC}">
                <c16:uniqueId val="{00000004-4232-4607-9D2E-8690C0DC9F60}"/>
              </c:ext>
            </c:extLst>
          </c:dPt>
          <c:dLbls>
            <c:dLbl>
              <c:idx val="0"/>
              <c:layout>
                <c:manualLayout>
                  <c:x val="3.7271141981920683E-3"/>
                  <c:y val="-0.154725069085657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32-4607-9D2E-8690C0DC9F60}"/>
                </c:ext>
              </c:extLst>
            </c:dLbl>
            <c:dLbl>
              <c:idx val="1"/>
              <c:layout>
                <c:manualLayout>
                  <c:x val="9.3177854954802145E-3"/>
                  <c:y val="-0.305582011444172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32-4607-9D2E-8690C0DC9F60}"/>
                </c:ext>
              </c:extLst>
            </c:dLbl>
            <c:dLbl>
              <c:idx val="2"/>
              <c:layout>
                <c:manualLayout>
                  <c:x val="9.3177854954802145E-3"/>
                  <c:y val="-0.278505124354182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32-4607-9D2E-8690C0DC9F60}"/>
                </c:ext>
              </c:extLst>
            </c:dLbl>
            <c:dLbl>
              <c:idx val="3"/>
              <c:layout>
                <c:manualLayout>
                  <c:x val="1.118134259457612E-2"/>
                  <c:y val="-0.228219476901344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32-4607-9D2E-8690C0DC9F60}"/>
                </c:ext>
              </c:extLst>
            </c:dLbl>
            <c:dLbl>
              <c:idx val="4"/>
              <c:layout>
                <c:manualLayout>
                  <c:x val="-1.366592752341007E-16"/>
                  <c:y val="-0.1585931958127985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232-4607-9D2E-8690C0DC9F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'City with Max revenue'!$A$4:$A$9</c:f>
              <c:strCache>
                <c:ptCount val="5"/>
                <c:pt idx="0">
                  <c:v>Berlin</c:v>
                </c:pt>
                <c:pt idx="1">
                  <c:v>Lisbon</c:v>
                </c:pt>
                <c:pt idx="2">
                  <c:v>London</c:v>
                </c:pt>
                <c:pt idx="3">
                  <c:v>Madrid</c:v>
                </c:pt>
                <c:pt idx="4">
                  <c:v>Paris</c:v>
                </c:pt>
              </c:strCache>
            </c:strRef>
          </c:cat>
          <c:val>
            <c:numRef>
              <c:f>'City with Max revenue'!$B$4:$B$9</c:f>
              <c:numCache>
                <c:formatCode>General</c:formatCode>
                <c:ptCount val="5"/>
                <c:pt idx="0">
                  <c:v>100600.13129999998</c:v>
                </c:pt>
                <c:pt idx="1">
                  <c:v>241714.11570000008</c:v>
                </c:pt>
                <c:pt idx="2">
                  <c:v>211201.04059999986</c:v>
                </c:pt>
                <c:pt idx="3">
                  <c:v>136200.26649999997</c:v>
                </c:pt>
                <c:pt idx="4">
                  <c:v>79800.305099999983</c:v>
                </c:pt>
              </c:numCache>
            </c:numRef>
          </c:val>
          <c:extLst>
            <c:ext xmlns:c16="http://schemas.microsoft.com/office/drawing/2014/chart" uri="{C3380CC4-5D6E-409C-BE32-E72D297353CC}">
              <c16:uniqueId val="{00000000-229B-4134-A0EF-ECFDCC2AAF1E}"/>
            </c:ext>
          </c:extLst>
        </c:ser>
        <c:dLbls>
          <c:dLblPos val="ctr"/>
          <c:showLegendKey val="0"/>
          <c:showVal val="1"/>
          <c:showCatName val="0"/>
          <c:showSerName val="0"/>
          <c:showPercent val="0"/>
          <c:showBubbleSize val="0"/>
        </c:dLbls>
        <c:gapWidth val="150"/>
        <c:overlap val="100"/>
        <c:axId val="961843520"/>
        <c:axId val="961833920"/>
      </c:barChart>
      <c:catAx>
        <c:axId val="9618435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1833920"/>
        <c:crosses val="autoZero"/>
        <c:auto val="1"/>
        <c:lblAlgn val="ctr"/>
        <c:lblOffset val="100"/>
        <c:noMultiLvlLbl val="0"/>
      </c:catAx>
      <c:valAx>
        <c:axId val="96183392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184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Data.xlsx]Month wise revenue!PivotTable15</c:name>
    <c:fmtId val="8"/>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800" b="1">
                <a:solidFill>
                  <a:sysClr val="windowText" lastClr="000000"/>
                </a:solidFill>
              </a:rPr>
              <a:t>MONTH WISE REVENUE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7177855347112366E-3"/>
              <c:y val="-0.308617505963516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7177855347112366E-3"/>
              <c:y val="-0.262324880068989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 wise revenue'!$B$3</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0-8182-4191-B012-8F24A6D6D65C}"/>
              </c:ext>
            </c:extLst>
          </c:dPt>
          <c:dPt>
            <c:idx val="1"/>
            <c:bubble3D val="0"/>
            <c:extLst>
              <c:ext xmlns:c16="http://schemas.microsoft.com/office/drawing/2014/chart" uri="{C3380CC4-5D6E-409C-BE32-E72D297353CC}">
                <c16:uniqueId val="{00000001-BC25-43B6-8972-47B4B6DE707C}"/>
              </c:ext>
            </c:extLst>
          </c:dPt>
          <c:dPt>
            <c:idx val="2"/>
            <c:bubble3D val="0"/>
            <c:extLst>
              <c:ext xmlns:c16="http://schemas.microsoft.com/office/drawing/2014/chart" uri="{C3380CC4-5D6E-409C-BE32-E72D297353CC}">
                <c16:uniqueId val="{00000000-BC25-43B6-8972-47B4B6DE707C}"/>
              </c:ext>
            </c:extLst>
          </c:dPt>
          <c:dLbls>
            <c:dLbl>
              <c:idx val="1"/>
              <c:layout>
                <c:manualLayout>
                  <c:x val="-3.7177855347112366E-3"/>
                  <c:y val="-0.262324880068989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25-43B6-8972-47B4B6DE707C}"/>
                </c:ext>
              </c:extLst>
            </c:dLbl>
            <c:dLbl>
              <c:idx val="2"/>
              <c:layout>
                <c:manualLayout>
                  <c:x val="3.7177855347112366E-3"/>
                  <c:y val="-0.308617505963516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25-43B6-8972-47B4B6DE70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'Month wise revenue'!$A$4:$A$7</c:f>
              <c:strCache>
                <c:ptCount val="3"/>
                <c:pt idx="0">
                  <c:v>&lt;07-11-2022</c:v>
                </c:pt>
                <c:pt idx="1">
                  <c:v>Nov</c:v>
                </c:pt>
                <c:pt idx="2">
                  <c:v>Dec</c:v>
                </c:pt>
              </c:strCache>
            </c:strRef>
          </c:cat>
          <c:val>
            <c:numRef>
              <c:f>'Month wise revenue'!$B$4:$B$7</c:f>
              <c:numCache>
                <c:formatCode>General</c:formatCode>
                <c:ptCount val="3"/>
                <c:pt idx="1">
                  <c:v>332114.65840000019</c:v>
                </c:pt>
                <c:pt idx="2">
                  <c:v>437401.20079999993</c:v>
                </c:pt>
              </c:numCache>
            </c:numRef>
          </c:val>
          <c:extLst>
            <c:ext xmlns:c16="http://schemas.microsoft.com/office/drawing/2014/chart" uri="{C3380CC4-5D6E-409C-BE32-E72D297353CC}">
              <c16:uniqueId val="{00000000-B76A-4CAC-BAE8-3FA4DC9BAA48}"/>
            </c:ext>
          </c:extLst>
        </c:ser>
        <c:dLbls>
          <c:showLegendKey val="0"/>
          <c:showVal val="1"/>
          <c:showCatName val="0"/>
          <c:showSerName val="0"/>
          <c:showPercent val="0"/>
          <c:showBubbleSize val="0"/>
        </c:dLbls>
        <c:axId val="965384320"/>
        <c:axId val="965385280"/>
      </c:areaChart>
      <c:catAx>
        <c:axId val="96538432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65385280"/>
        <c:crosses val="autoZero"/>
        <c:auto val="1"/>
        <c:lblAlgn val="ctr"/>
        <c:lblOffset val="100"/>
        <c:noMultiLvlLbl val="0"/>
      </c:catAx>
      <c:valAx>
        <c:axId val="965385280"/>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65384320"/>
        <c:crosses val="autoZero"/>
        <c:crossBetween val="midCat"/>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Sales Data.xlsx]Average of revenue!PivotTable17</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b="1">
                <a:solidFill>
                  <a:sysClr val="windowText" lastClr="000000"/>
                </a:solidFill>
              </a:rPr>
              <a:t>Average of revenue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ofPieChart>
        <c:ofPieType val="bar"/>
        <c:varyColors val="1"/>
        <c:ser>
          <c:idx val="0"/>
          <c:order val="0"/>
          <c:tx>
            <c:strRef>
              <c:f>'Average of revenue'!$B$3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8DD-4745-BC98-370BD5D0823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8DD-4745-BC98-370BD5D0823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8DD-4745-BC98-370BD5D0823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8DD-4745-BC98-370BD5D0823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8DD-4745-BC98-370BD5D0823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8DD-4745-BC98-370BD5D082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of revenue'!$A$4:$A$9</c:f>
              <c:strCache>
                <c:ptCount val="5"/>
                <c:pt idx="0">
                  <c:v>Berlin</c:v>
                </c:pt>
                <c:pt idx="1">
                  <c:v>Lisbon</c:v>
                </c:pt>
                <c:pt idx="2">
                  <c:v>London</c:v>
                </c:pt>
                <c:pt idx="3">
                  <c:v>Madrid</c:v>
                </c:pt>
                <c:pt idx="4">
                  <c:v>Paris</c:v>
                </c:pt>
              </c:strCache>
            </c:strRef>
          </c:cat>
          <c:val>
            <c:numRef>
              <c:f>'Average of revenue'!$B$4:$B$9</c:f>
              <c:numCache>
                <c:formatCode>General</c:formatCode>
                <c:ptCount val="5"/>
                <c:pt idx="0">
                  <c:v>3353.3377099999993</c:v>
                </c:pt>
                <c:pt idx="1">
                  <c:v>3222.8548760000012</c:v>
                </c:pt>
                <c:pt idx="2">
                  <c:v>2816.0138746666648</c:v>
                </c:pt>
                <c:pt idx="3">
                  <c:v>2960.8753586956514</c:v>
                </c:pt>
                <c:pt idx="4">
                  <c:v>2850.010896428571</c:v>
                </c:pt>
              </c:numCache>
            </c:numRef>
          </c:val>
          <c:extLst>
            <c:ext xmlns:c16="http://schemas.microsoft.com/office/drawing/2014/chart" uri="{C3380CC4-5D6E-409C-BE32-E72D297353CC}">
              <c16:uniqueId val="{0000000C-E8DD-4745-BC98-370BD5D08230}"/>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5.xml><?xml version="1.0" encoding="utf-8"?>
<cs:chartStyle xmlns:cs="http://schemas.microsoft.com/office/drawing/2012/chartStyle" xmlns:a="http://schemas.openxmlformats.org/drawingml/2006/main" id="33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137160</xdr:colOff>
      <xdr:row>2</xdr:row>
      <xdr:rowOff>45720</xdr:rowOff>
    </xdr:from>
    <xdr:to>
      <xdr:col>14</xdr:col>
      <xdr:colOff>266700</xdr:colOff>
      <xdr:row>21</xdr:row>
      <xdr:rowOff>148590</xdr:rowOff>
    </xdr:to>
    <xdr:graphicFrame macro="">
      <xdr:nvGraphicFramePr>
        <xdr:cNvPr id="2" name="Chart 1">
          <a:extLst>
            <a:ext uri="{FF2B5EF4-FFF2-40B4-BE49-F238E27FC236}">
              <a16:creationId xmlns:a16="http://schemas.microsoft.com/office/drawing/2014/main" id="{91A95B70-4726-28CE-C0D1-86E942F4D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2</xdr:row>
      <xdr:rowOff>22860</xdr:rowOff>
    </xdr:from>
    <xdr:to>
      <xdr:col>13</xdr:col>
      <xdr:colOff>441960</xdr:colOff>
      <xdr:row>23</xdr:row>
      <xdr:rowOff>99060</xdr:rowOff>
    </xdr:to>
    <xdr:graphicFrame macro="">
      <xdr:nvGraphicFramePr>
        <xdr:cNvPr id="2" name="Chart 1">
          <a:extLst>
            <a:ext uri="{FF2B5EF4-FFF2-40B4-BE49-F238E27FC236}">
              <a16:creationId xmlns:a16="http://schemas.microsoft.com/office/drawing/2014/main" id="{FA56F6D1-18CF-E0D8-902F-25A5E88DF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586740</xdr:colOff>
      <xdr:row>3</xdr:row>
      <xdr:rowOff>34290</xdr:rowOff>
    </xdr:from>
    <xdr:to>
      <xdr:col>12</xdr:col>
      <xdr:colOff>449580</xdr:colOff>
      <xdr:row>21</xdr:row>
      <xdr:rowOff>144780</xdr:rowOff>
    </xdr:to>
    <xdr:graphicFrame macro="">
      <xdr:nvGraphicFramePr>
        <xdr:cNvPr id="2" name="Chart 1">
          <a:extLst>
            <a:ext uri="{FF2B5EF4-FFF2-40B4-BE49-F238E27FC236}">
              <a16:creationId xmlns:a16="http://schemas.microsoft.com/office/drawing/2014/main" id="{989AC7F2-F711-0924-7E07-A84BC279A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426720</xdr:colOff>
      <xdr:row>6</xdr:row>
      <xdr:rowOff>41910</xdr:rowOff>
    </xdr:from>
    <xdr:to>
      <xdr:col>11</xdr:col>
      <xdr:colOff>121920</xdr:colOff>
      <xdr:row>21</xdr:row>
      <xdr:rowOff>41910</xdr:rowOff>
    </xdr:to>
    <xdr:graphicFrame macro="">
      <xdr:nvGraphicFramePr>
        <xdr:cNvPr id="2" name="Chart 1">
          <a:extLst>
            <a:ext uri="{FF2B5EF4-FFF2-40B4-BE49-F238E27FC236}">
              <a16:creationId xmlns:a16="http://schemas.microsoft.com/office/drawing/2014/main" id="{73893B52-C9DE-AB86-AEFC-04D27A8F6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152400</xdr:colOff>
      <xdr:row>2</xdr:row>
      <xdr:rowOff>171450</xdr:rowOff>
    </xdr:from>
    <xdr:to>
      <xdr:col>11</xdr:col>
      <xdr:colOff>419100</xdr:colOff>
      <xdr:row>22</xdr:row>
      <xdr:rowOff>106680</xdr:rowOff>
    </xdr:to>
    <xdr:graphicFrame macro="">
      <xdr:nvGraphicFramePr>
        <xdr:cNvPr id="2" name="Chart 1">
          <a:extLst>
            <a:ext uri="{FF2B5EF4-FFF2-40B4-BE49-F238E27FC236}">
              <a16:creationId xmlns:a16="http://schemas.microsoft.com/office/drawing/2014/main" id="{F2006D45-F158-19A7-50B4-6E6EA8BED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544455</xdr:colOff>
      <xdr:row>0</xdr:row>
      <xdr:rowOff>0</xdr:rowOff>
    </xdr:from>
    <xdr:to>
      <xdr:col>31</xdr:col>
      <xdr:colOff>611747</xdr:colOff>
      <xdr:row>3</xdr:row>
      <xdr:rowOff>85859</xdr:rowOff>
    </xdr:to>
    <xdr:sp macro="" textlink="">
      <xdr:nvSpPr>
        <xdr:cNvPr id="2" name="TextBox 1">
          <a:extLst>
            <a:ext uri="{FF2B5EF4-FFF2-40B4-BE49-F238E27FC236}">
              <a16:creationId xmlns:a16="http://schemas.microsoft.com/office/drawing/2014/main" id="{BA2ED5C9-FD5A-C84E-F1E0-218429379A15}"/>
            </a:ext>
          </a:extLst>
        </xdr:cNvPr>
        <xdr:cNvSpPr txBox="1"/>
      </xdr:nvSpPr>
      <xdr:spPr>
        <a:xfrm>
          <a:off x="544455" y="0"/>
          <a:ext cx="20694954" cy="601014"/>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fontAlgn="base"/>
          <a:r>
            <a:rPr lang="en-IN" sz="3600" b="1">
              <a:solidFill>
                <a:schemeClr val="accent1">
                  <a:lumMod val="50000"/>
                </a:schemeClr>
              </a:solidFill>
              <a:effectLst/>
              <a:latin typeface="+mn-lt"/>
              <a:ea typeface="+mn-ea"/>
              <a:cs typeface="Times New Roman" panose="02020603050405020304" pitchFamily="18" charset="0"/>
            </a:rPr>
            <a:t>Restaurant Sales Data</a:t>
          </a:r>
        </a:p>
        <a:p>
          <a:br>
            <a:rPr lang="en-IN" sz="3600" b="1">
              <a:solidFill>
                <a:schemeClr val="accent1">
                  <a:lumMod val="50000"/>
                </a:schemeClr>
              </a:solidFill>
              <a:effectLst/>
              <a:latin typeface="+mn-lt"/>
              <a:ea typeface="+mn-ea"/>
              <a:cs typeface="+mn-cs"/>
            </a:rPr>
          </a:br>
          <a:endParaRPr lang="en-IN" sz="3600" b="1">
            <a:solidFill>
              <a:schemeClr val="accent1">
                <a:lumMod val="50000"/>
              </a:schemeClr>
            </a:solidFill>
            <a:latin typeface="+mn-lt"/>
          </a:endParaRPr>
        </a:p>
      </xdr:txBody>
    </xdr:sp>
    <xdr:clientData/>
  </xdr:twoCellAnchor>
  <xdr:twoCellAnchor>
    <xdr:from>
      <xdr:col>11</xdr:col>
      <xdr:colOff>268310</xdr:colOff>
      <xdr:row>3</xdr:row>
      <xdr:rowOff>75127</xdr:rowOff>
    </xdr:from>
    <xdr:to>
      <xdr:col>21</xdr:col>
      <xdr:colOff>418563</xdr:colOff>
      <xdr:row>21</xdr:row>
      <xdr:rowOff>85859</xdr:rowOff>
    </xdr:to>
    <xdr:graphicFrame macro="">
      <xdr:nvGraphicFramePr>
        <xdr:cNvPr id="3" name="Chart 2">
          <a:extLst>
            <a:ext uri="{FF2B5EF4-FFF2-40B4-BE49-F238E27FC236}">
              <a16:creationId xmlns:a16="http://schemas.microsoft.com/office/drawing/2014/main" id="{651736C3-1E5F-4343-8BAE-5D8E2BFD5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424365</xdr:colOff>
      <xdr:row>3</xdr:row>
      <xdr:rowOff>85860</xdr:rowOff>
    </xdr:from>
    <xdr:to>
      <xdr:col>30</xdr:col>
      <xdr:colOff>640607</xdr:colOff>
      <xdr:row>21</xdr:row>
      <xdr:rowOff>126178</xdr:rowOff>
    </xdr:to>
    <xdr:graphicFrame macro="">
      <xdr:nvGraphicFramePr>
        <xdr:cNvPr id="4" name="Chart 3">
          <a:extLst>
            <a:ext uri="{FF2B5EF4-FFF2-40B4-BE49-F238E27FC236}">
              <a16:creationId xmlns:a16="http://schemas.microsoft.com/office/drawing/2014/main" id="{31E9A8FB-6A24-4014-9A63-C0F6E1457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100944</xdr:colOff>
      <xdr:row>21</xdr:row>
      <xdr:rowOff>116751</xdr:rowOff>
    </xdr:from>
    <xdr:to>
      <xdr:col>11</xdr:col>
      <xdr:colOff>261783</xdr:colOff>
      <xdr:row>40</xdr:row>
      <xdr:rowOff>137347</xdr:rowOff>
    </xdr:to>
    <xdr:graphicFrame macro="">
      <xdr:nvGraphicFramePr>
        <xdr:cNvPr id="5" name="Chart 4">
          <a:extLst>
            <a:ext uri="{FF2B5EF4-FFF2-40B4-BE49-F238E27FC236}">
              <a16:creationId xmlns:a16="http://schemas.microsoft.com/office/drawing/2014/main" id="{89583537-7A60-449E-A391-FC4276F15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269195</xdr:colOff>
      <xdr:row>21</xdr:row>
      <xdr:rowOff>107893</xdr:rowOff>
    </xdr:from>
    <xdr:to>
      <xdr:col>21</xdr:col>
      <xdr:colOff>447135</xdr:colOff>
      <xdr:row>40</xdr:row>
      <xdr:rowOff>137347</xdr:rowOff>
    </xdr:to>
    <xdr:graphicFrame macro="">
      <xdr:nvGraphicFramePr>
        <xdr:cNvPr id="6" name="Chart 5">
          <a:extLst>
            <a:ext uri="{FF2B5EF4-FFF2-40B4-BE49-F238E27FC236}">
              <a16:creationId xmlns:a16="http://schemas.microsoft.com/office/drawing/2014/main" id="{7B3011F5-55F9-49F1-B11D-B3F6777D3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414503</xdr:colOff>
      <xdr:row>21</xdr:row>
      <xdr:rowOff>106887</xdr:rowOff>
    </xdr:from>
    <xdr:to>
      <xdr:col>31</xdr:col>
      <xdr:colOff>8381</xdr:colOff>
      <xdr:row>40</xdr:row>
      <xdr:rowOff>168672</xdr:rowOff>
    </xdr:to>
    <xdr:graphicFrame macro="">
      <xdr:nvGraphicFramePr>
        <xdr:cNvPr id="7" name="Chart 6">
          <a:extLst>
            <a:ext uri="{FF2B5EF4-FFF2-40B4-BE49-F238E27FC236}">
              <a16:creationId xmlns:a16="http://schemas.microsoft.com/office/drawing/2014/main" id="{145629D1-25A2-49DE-9452-614CBD7E7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78628</xdr:colOff>
      <xdr:row>3</xdr:row>
      <xdr:rowOff>105835</xdr:rowOff>
    </xdr:from>
    <xdr:to>
      <xdr:col>4</xdr:col>
      <xdr:colOff>332705</xdr:colOff>
      <xdr:row>21</xdr:row>
      <xdr:rowOff>85858</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B8A0E777-3868-6807-F87A-65B9A391855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744036" y="620990"/>
              <a:ext cx="2250303" cy="3070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343437</xdr:colOff>
      <xdr:row>3</xdr:row>
      <xdr:rowOff>96592</xdr:rowOff>
    </xdr:from>
    <xdr:to>
      <xdr:col>7</xdr:col>
      <xdr:colOff>504424</xdr:colOff>
      <xdr:row>21</xdr:row>
      <xdr:rowOff>96592</xdr:rowOff>
    </xdr:to>
    <mc:AlternateContent xmlns:mc="http://schemas.openxmlformats.org/markup-compatibility/2006" xmlns:a14="http://schemas.microsoft.com/office/drawing/2010/main">
      <mc:Choice Requires="a14">
        <xdr:graphicFrame macro="">
          <xdr:nvGraphicFramePr>
            <xdr:cNvPr id="9" name="Purchase Type">
              <a:extLst>
                <a:ext uri="{FF2B5EF4-FFF2-40B4-BE49-F238E27FC236}">
                  <a16:creationId xmlns:a16="http://schemas.microsoft.com/office/drawing/2014/main" id="{85B0C73D-3BD7-2662-DECB-2E6B64A693FA}"/>
                </a:ext>
              </a:extLst>
            </xdr:cNvPr>
            <xdr:cNvGraphicFramePr/>
          </xdr:nvGraphicFramePr>
          <xdr:xfrm>
            <a:off x="0" y="0"/>
            <a:ext cx="0" cy="0"/>
          </xdr:xfrm>
          <a:graphic>
            <a:graphicData uri="http://schemas.microsoft.com/office/drawing/2010/slicer">
              <sle:slicer xmlns:sle="http://schemas.microsoft.com/office/drawing/2010/slicer" name="Purchase Type"/>
            </a:graphicData>
          </a:graphic>
        </xdr:graphicFrame>
      </mc:Choice>
      <mc:Fallback xmlns="">
        <xdr:sp macro="" textlink="">
          <xdr:nvSpPr>
            <xdr:cNvPr id="0" name=""/>
            <xdr:cNvSpPr>
              <a:spLocks noTextEdit="1"/>
            </xdr:cNvSpPr>
          </xdr:nvSpPr>
          <xdr:spPr>
            <a:xfrm>
              <a:off x="3005071" y="611747"/>
              <a:ext cx="2157212" cy="3090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482959</xdr:colOff>
      <xdr:row>3</xdr:row>
      <xdr:rowOff>107325</xdr:rowOff>
    </xdr:from>
    <xdr:to>
      <xdr:col>11</xdr:col>
      <xdr:colOff>253500</xdr:colOff>
      <xdr:row>21</xdr:row>
      <xdr:rowOff>128788</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8B5271B5-F38A-8591-8B84-501B67F74DB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140818" y="622480"/>
              <a:ext cx="2432175" cy="3112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14A2FD2-089B-4492-8B68-D780F154D353}"/>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dhanush" refreshedDate="46001.452255902776" createdVersion="8" refreshedVersion="8" minRefreshableVersion="3" recordCount="254" xr:uid="{E472B1B0-2EB2-4CA2-A263-62AD9E556C8B}">
  <cacheSource type="worksheet">
    <worksheetSource name="_9__Sales_Data_Analysis"/>
  </cacheSource>
  <cacheFields count="11">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ount="53">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sharedItems>
      <fieldGroup par="10"/>
    </cacheField>
    <cacheField name="Product" numFmtId="0">
      <sharedItems count="5">
        <s v="Fries"/>
        <s v="Beverages"/>
        <s v="Sides &amp; Other"/>
        <s v="Burgers"/>
        <s v="Chicken Sandwiches"/>
      </sharedItems>
    </cacheField>
    <cacheField name="Price" numFmtId="0">
      <sharedItems containsSemiMixedTypes="0" containsString="0" containsNumber="1" minValue="2.95" maxValue="29.05" count="7">
        <n v="3.49"/>
        <n v="2.95"/>
        <n v="4.99"/>
        <n v="12.99"/>
        <n v="9.9499999999999993"/>
        <n v="25.5"/>
        <n v="29.05"/>
      </sharedItems>
    </cacheField>
    <cacheField name="Quantity" numFmtId="0">
      <sharedItems containsSemiMixedTypes="0" containsString="0" containsNumber="1" minValue="200.4" maxValue="754.43"/>
    </cacheField>
    <cacheField name="Purchase Type" numFmtId="0">
      <sharedItems count="3">
        <s v="Online "/>
        <s v="In-store "/>
        <s v="Drive-thru "/>
      </sharedItems>
    </cacheField>
    <cacheField name="Payment Method" numFmtId="0">
      <sharedItems count="3">
        <s v=" Gift Card"/>
        <s v=" Credit Card"/>
        <s v=" Cash"/>
      </sharedItems>
    </cacheField>
    <cacheField name="Manager" numFmtId="0">
      <sharedItems count="14">
        <s v="Tom      Jackson"/>
        <s v="       Pablo Perez"/>
        <s v="Joao    Silva"/>
        <s v="Walter Muller"/>
        <s v="Remy    Monet"/>
        <s v="Remy Monet"/>
        <s v="       Remy Monet"/>
        <s v="Remy     Monet"/>
        <s v="Pablo Perez"/>
        <s v="Pablo   Perez"/>
        <s v="Pablo  Perez"/>
        <s v="Pablo    Perez"/>
        <s v="Joao Silva"/>
        <s v="Tom Jackson"/>
      </sharedItems>
    </cacheField>
    <cacheField name="City" numFmtId="0">
      <sharedItems count="5">
        <s v="London"/>
        <s v="Madrid"/>
        <s v="Lisbon"/>
        <s v="Berlin"/>
        <s v="Paris"/>
      </sharedItems>
    </cacheField>
    <cacheField name="Days (Date)" numFmtId="0" databaseField="0">
      <fieldGroup base="1">
        <rangePr groupBy="days" startDate="2022-11-07T00:00:00" endDate="2022-12-30T00:00:00"/>
        <groupItems count="368">
          <s v="&lt;07-1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2"/>
        </groupItems>
      </fieldGroup>
    </cacheField>
    <cacheField name="Months (Date)" numFmtId="0" databaseField="0">
      <fieldGroup base="1">
        <rangePr groupBy="months" startDate="2022-11-07T00:00:00" endDate="2022-12-30T00:00:00"/>
        <groupItems count="14">
          <s v="&lt;07-11-2022"/>
          <s v="Jan"/>
          <s v="Feb"/>
          <s v="Mar"/>
          <s v="Apr"/>
          <s v="May"/>
          <s v="Jun"/>
          <s v="Jul"/>
          <s v="Aug"/>
          <s v="Sep"/>
          <s v="Oct"/>
          <s v="Nov"/>
          <s v="Dec"/>
          <s v="&gt;30-12-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dhanush" refreshedDate="46001.49490208333" createdVersion="8" refreshedVersion="8" minRefreshableVersion="3" recordCount="255" xr:uid="{679F3F33-9E4D-416E-B492-95A614513B1E}">
  <cacheSource type="worksheet">
    <worksheetSource ref="A1:J1048576" sheet="9  Sales-Data-Analysis"/>
  </cacheSource>
  <cacheFields count="12">
    <cacheField name="Order ID" numFmtId="0">
      <sharedItems containsString="0" containsBlank="1" containsNumber="1" containsInteger="1" minValue="10452" maxValue="10713"/>
    </cacheField>
    <cacheField name="Date" numFmtId="0">
      <sharedItems containsNonDate="0" containsDate="1" containsString="0" containsBlank="1" minDate="2022-11-07T00:00:00" maxDate="2022-12-30T00:00:00" count="54">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m/>
      </sharedItems>
      <fieldGroup par="11"/>
    </cacheField>
    <cacheField name="Product" numFmtId="0">
      <sharedItems containsBlank="1"/>
    </cacheField>
    <cacheField name="Price" numFmtId="164">
      <sharedItems containsString="0" containsBlank="1" containsNumber="1" minValue="2.95" maxValue="29.05"/>
    </cacheField>
    <cacheField name="Quantity" numFmtId="164">
      <sharedItems containsString="0" containsBlank="1" containsNumber="1" minValue="200.4" maxValue="754.43"/>
    </cacheField>
    <cacheField name="Purchase Type" numFmtId="0">
      <sharedItems containsBlank="1"/>
    </cacheField>
    <cacheField name="Payment Method" numFmtId="0">
      <sharedItems containsBlank="1"/>
    </cacheField>
    <cacheField name="Manager" numFmtId="0">
      <sharedItems containsBlank="1"/>
    </cacheField>
    <cacheField name="City" numFmtId="0">
      <sharedItems containsBlank="1" count="6">
        <s v="London"/>
        <s v="Madrid"/>
        <s v="Lisbon"/>
        <s v="Berlin"/>
        <s v="Paris"/>
        <m/>
      </sharedItems>
    </cacheField>
    <cacheField name="revenue" numFmtId="0">
      <sharedItems containsString="0" containsBlank="1" containsNumber="1" minValue="999.99600000000009" maxValue="16074.434999999999"/>
    </cacheField>
    <cacheField name="Days (Date)" numFmtId="0" databaseField="0">
      <fieldGroup base="1">
        <rangePr groupBy="days" startDate="2022-11-07T00:00:00" endDate="2022-12-30T00:00:00"/>
        <groupItems count="368">
          <s v="&lt;07-1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2"/>
        </groupItems>
      </fieldGroup>
    </cacheField>
    <cacheField name="Months (Date)" numFmtId="0" databaseField="0">
      <fieldGroup base="1">
        <rangePr groupBy="months" startDate="2022-11-07T00:00:00" endDate="2022-12-30T00:00:00"/>
        <groupItems count="14">
          <s v="&lt;07-11-2022"/>
          <s v="Jan"/>
          <s v="Feb"/>
          <s v="Mar"/>
          <s v="Apr"/>
          <s v="May"/>
          <s v="Jun"/>
          <s v="Jul"/>
          <s v="Aug"/>
          <s v="Sep"/>
          <s v="Oct"/>
          <s v="Nov"/>
          <s v="Dec"/>
          <s v="&gt;30-12-2022"/>
        </groupItems>
      </fieldGroup>
    </cacheField>
  </cacheFields>
  <extLst>
    <ext xmlns:x14="http://schemas.microsoft.com/office/spreadsheetml/2009/9/main" uri="{725AE2AE-9491-48be-B2B4-4EB974FC3084}">
      <x14:pivotCacheDefinition pivotCacheId="190226843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 dhanush" refreshedDate="46011.662252430557" backgroundQuery="1" createdVersion="8" refreshedVersion="8" minRefreshableVersion="3" recordCount="0" supportSubquery="1" supportAdvancedDrill="1" xr:uid="{C225AD0B-A441-40A0-B57D-F13175636510}">
  <cacheSource type="external" connectionId="2"/>
  <cacheFields count="4">
    <cacheField name="[Measures].[Sum of Quantity]" caption="Sum of Quantity" numFmtId="0" hierarchy="12" level="32767"/>
    <cacheField name="[_9__Sales_Data_Analysis].[Product].[Product]" caption="Product" numFmtId="0" hierarchy="2" level="1">
      <sharedItems count="5">
        <s v="Beverages"/>
        <s v="Burgers"/>
        <s v="Chicken Sandwiches"/>
        <s v="Fries"/>
        <s v="Sides &amp; Other"/>
      </sharedItems>
    </cacheField>
    <cacheField name="[Measures].[Sum of revenue]" caption="Sum of revenue" numFmtId="0" hierarchy="13" level="32767"/>
    <cacheField name="[_9__Sales_Data_Analysis].[Payment Method].[Payment Method]" caption="Payment Method" numFmtId="0" hierarchy="6" level="1">
      <sharedItems containsSemiMixedTypes="0" containsNonDate="0" containsString="0"/>
    </cacheField>
  </cacheFields>
  <cacheHierarchies count="15">
    <cacheHierarchy uniqueName="[_9__Sales_Data_Analysis].[Order ID]" caption="Order ID" attribute="1" defaultMemberUniqueName="[_9__Sales_Data_Analysis].[Order ID].[All]" allUniqueName="[_9__Sales_Data_Analysis].[Order ID].[All]" dimensionUniqueName="[_9__Sales_Data_Analysis]" displayFolder="" count="2" memberValueDatatype="20" unbalanced="0"/>
    <cacheHierarchy uniqueName="[_9__Sales_Data_Analysis].[Date]" caption="Date" attribute="1" time="1" defaultMemberUniqueName="[_9__Sales_Data_Analysis].[Date].[All]" allUniqueName="[_9__Sales_Data_Analysis].[Date].[All]" dimensionUniqueName="[_9__Sales_Data_Analysis]" displayFolder="" count="2" memberValueDatatype="7" unbalanced="0"/>
    <cacheHierarchy uniqueName="[_9__Sales_Data_Analysis].[Product]" caption="Product" attribute="1" defaultMemberUniqueName="[_9__Sales_Data_Analysis].[Product].[All]" allUniqueName="[_9__Sales_Data_Analysis].[Product].[All]" dimensionUniqueName="[_9__Sales_Data_Analysis]" displayFolder="" count="2" memberValueDatatype="130" unbalanced="0">
      <fieldsUsage count="2">
        <fieldUsage x="-1"/>
        <fieldUsage x="1"/>
      </fieldsUsage>
    </cacheHierarchy>
    <cacheHierarchy uniqueName="[_9__Sales_Data_Analysis].[Price]" caption="Price" attribute="1" defaultMemberUniqueName="[_9__Sales_Data_Analysis].[Price].[All]" allUniqueName="[_9__Sales_Data_Analysis].[Price].[All]" dimensionUniqueName="[_9__Sales_Data_Analysis]" displayFolder="" count="2" memberValueDatatype="5" unbalanced="0"/>
    <cacheHierarchy uniqueName="[_9__Sales_Data_Analysis].[Quantity]" caption="Quantity" attribute="1" defaultMemberUniqueName="[_9__Sales_Data_Analysis].[Quantity].[All]" allUniqueName="[_9__Sales_Data_Analysis].[Quantity].[All]" dimensionUniqueName="[_9__Sales_Data_Analysis]" displayFolder="" count="2" memberValueDatatype="5" unbalanced="0"/>
    <cacheHierarchy uniqueName="[_9__Sales_Data_Analysis].[Purchase Type]" caption="Purchase Type" attribute="1" defaultMemberUniqueName="[_9__Sales_Data_Analysis].[Purchase Type].[All]" allUniqueName="[_9__Sales_Data_Analysis].[Purchase Type].[All]" dimensionUniqueName="[_9__Sales_Data_Analysis]" displayFolder="" count="2" memberValueDatatype="130" unbalanced="0"/>
    <cacheHierarchy uniqueName="[_9__Sales_Data_Analysis].[Payment Method]" caption="Payment Method" attribute="1" defaultMemberUniqueName="[_9__Sales_Data_Analysis].[Payment Method].[All]" allUniqueName="[_9__Sales_Data_Analysis].[Payment Method].[All]" dimensionUniqueName="[_9__Sales_Data_Analysis]" displayFolder="" count="2" memberValueDatatype="130" unbalanced="0">
      <fieldsUsage count="2">
        <fieldUsage x="-1"/>
        <fieldUsage x="3"/>
      </fieldsUsage>
    </cacheHierarchy>
    <cacheHierarchy uniqueName="[_9__Sales_Data_Analysis].[Manager]" caption="Manager" attribute="1" defaultMemberUniqueName="[_9__Sales_Data_Analysis].[Manager].[All]" allUniqueName="[_9__Sales_Data_Analysis].[Manager].[All]" dimensionUniqueName="[_9__Sales_Data_Analysis]" displayFolder="" count="2" memberValueDatatype="130" unbalanced="0"/>
    <cacheHierarchy uniqueName="[_9__Sales_Data_Analysis].[City]" caption="City" attribute="1" defaultMemberUniqueName="[_9__Sales_Data_Analysis].[City].[All]" allUniqueName="[_9__Sales_Data_Analysis].[City].[All]" dimensionUniqueName="[_9__Sales_Data_Analysis]" displayFolder="" count="2" memberValueDatatype="130" unbalanced="0"/>
    <cacheHierarchy uniqueName="[_9__Sales_Data_Analysis].[revenue]" caption="revenue" attribute="1" defaultMemberUniqueName="[_9__Sales_Data_Analysis].[revenue].[All]" allUniqueName="[_9__Sales_Data_Analysis].[revenue].[All]" dimensionUniqueName="[_9__Sales_Data_Analysis]" displayFolder="" count="2" memberValueDatatype="5" unbalanced="0"/>
    <cacheHierarchy uniqueName="[Measures].[__XL_Count _9__Sales_Data_Analysis]" caption="__XL_Count _9__Sales_Data_Analysis" measure="1" displayFolder="" measureGroup="_9__Sales_Data_Analysis" count="0" hidden="1"/>
    <cacheHierarchy uniqueName="[Measures].[__No measures defined]" caption="__No measures defined" measure="1" displayFolder="" count="0" hidden="1"/>
    <cacheHierarchy uniqueName="[Measures].[Sum of Quantity]" caption="Sum of Quantity" measure="1" displayFolder="" measureGroup="_9__Sales_Data_Analysi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revenue]" caption="Sum of revenue" measure="1" displayFolder="" measureGroup="_9__Sales_Data_Analysis"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revenue]" caption="Average of revenue" measure="1" displayFolder="" measureGroup="_9__Sales_Data_Analysis" count="0" hidden="1">
      <extLst>
        <ext xmlns:x15="http://schemas.microsoft.com/office/spreadsheetml/2010/11/main" uri="{B97F6D7D-B522-45F9-BDA1-12C45D357490}">
          <x15:cacheHierarchy aggregatedColumn="9"/>
        </ext>
      </extLst>
    </cacheHierarchy>
  </cacheHierarchies>
  <kpis count="0"/>
  <dimensions count="2">
    <dimension name="_9__Sales_Data_Analysis" uniqueName="[_9__Sales_Data_Analysis]" caption="_9__Sales_Data_Analysis"/>
    <dimension measure="1" name="Measures" uniqueName="[Measures]" caption="Measures"/>
  </dimensions>
  <measureGroups count="1">
    <measureGroup name="_9__Sales_Data_Analysis" caption="_9__Sales_Data_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 dhanush" refreshedDate="46011.662252893519" backgroundQuery="1" createdVersion="8" refreshedVersion="8" minRefreshableVersion="3" recordCount="0" supportSubquery="1" supportAdvancedDrill="1" xr:uid="{4B776044-D3C1-4454-B3F9-300E77803FD7}">
  <cacheSource type="external" connectionId="2"/>
  <cacheFields count="3">
    <cacheField name="[Measures].[Average of revenue]" caption="Average of revenue" numFmtId="0" hierarchy="14" level="32767"/>
    <cacheField name="[_9__Sales_Data_Analysis].[City].[City]" caption="City" numFmtId="0" hierarchy="8" level="1">
      <sharedItems count="5">
        <s v="Berlin"/>
        <s v="Lisbon"/>
        <s v="London"/>
        <s v="Madrid"/>
        <s v="Paris"/>
      </sharedItems>
    </cacheField>
    <cacheField name="[_9__Sales_Data_Analysis].[Payment Method].[Payment Method]" caption="Payment Method" numFmtId="0" hierarchy="6" level="1">
      <sharedItems containsSemiMixedTypes="0" containsNonDate="0" containsString="0"/>
    </cacheField>
  </cacheFields>
  <cacheHierarchies count="15">
    <cacheHierarchy uniqueName="[_9__Sales_Data_Analysis].[Order ID]" caption="Order ID" attribute="1" defaultMemberUniqueName="[_9__Sales_Data_Analysis].[Order ID].[All]" allUniqueName="[_9__Sales_Data_Analysis].[Order ID].[All]" dimensionUniqueName="[_9__Sales_Data_Analysis]" displayFolder="" count="0" memberValueDatatype="20" unbalanced="0"/>
    <cacheHierarchy uniqueName="[_9__Sales_Data_Analysis].[Date]" caption="Date" attribute="1" time="1" defaultMemberUniqueName="[_9__Sales_Data_Analysis].[Date].[All]" allUniqueName="[_9__Sales_Data_Analysis].[Date].[All]" dimensionUniqueName="[_9__Sales_Data_Analysis]" displayFolder="" count="0" memberValueDatatype="7" unbalanced="0"/>
    <cacheHierarchy uniqueName="[_9__Sales_Data_Analysis].[Product]" caption="Product" attribute="1" defaultMemberUniqueName="[_9__Sales_Data_Analysis].[Product].[All]" allUniqueName="[_9__Sales_Data_Analysis].[Product].[All]" dimensionUniqueName="[_9__Sales_Data_Analysis]" displayFolder="" count="0" memberValueDatatype="130" unbalanced="0"/>
    <cacheHierarchy uniqueName="[_9__Sales_Data_Analysis].[Price]" caption="Price" attribute="1" defaultMemberUniqueName="[_9__Sales_Data_Analysis].[Price].[All]" allUniqueName="[_9__Sales_Data_Analysis].[Price].[All]" dimensionUniqueName="[_9__Sales_Data_Analysis]" displayFolder="" count="0" memberValueDatatype="5" unbalanced="0"/>
    <cacheHierarchy uniqueName="[_9__Sales_Data_Analysis].[Quantity]" caption="Quantity" attribute="1" defaultMemberUniqueName="[_9__Sales_Data_Analysis].[Quantity].[All]" allUniqueName="[_9__Sales_Data_Analysis].[Quantity].[All]" dimensionUniqueName="[_9__Sales_Data_Analysis]" displayFolder="" count="0" memberValueDatatype="5" unbalanced="0"/>
    <cacheHierarchy uniqueName="[_9__Sales_Data_Analysis].[Purchase Type]" caption="Purchase Type" attribute="1" defaultMemberUniqueName="[_9__Sales_Data_Analysis].[Purchase Type].[All]" allUniqueName="[_9__Sales_Data_Analysis].[Purchase Type].[All]" dimensionUniqueName="[_9__Sales_Data_Analysis]" displayFolder="" count="2" memberValueDatatype="130" unbalanced="0"/>
    <cacheHierarchy uniqueName="[_9__Sales_Data_Analysis].[Payment Method]" caption="Payment Method" attribute="1" defaultMemberUniqueName="[_9__Sales_Data_Analysis].[Payment Method].[All]" allUniqueName="[_9__Sales_Data_Analysis].[Payment Method].[All]" dimensionUniqueName="[_9__Sales_Data_Analysis]" displayFolder="" count="2" memberValueDatatype="130" unbalanced="0">
      <fieldsUsage count="2">
        <fieldUsage x="-1"/>
        <fieldUsage x="2"/>
      </fieldsUsage>
    </cacheHierarchy>
    <cacheHierarchy uniqueName="[_9__Sales_Data_Analysis].[Manager]" caption="Manager" attribute="1" defaultMemberUniqueName="[_9__Sales_Data_Analysis].[Manager].[All]" allUniqueName="[_9__Sales_Data_Analysis].[Manager].[All]" dimensionUniqueName="[_9__Sales_Data_Analysis]" displayFolder="" count="0" memberValueDatatype="130" unbalanced="0"/>
    <cacheHierarchy uniqueName="[_9__Sales_Data_Analysis].[City]" caption="City" attribute="1" defaultMemberUniqueName="[_9__Sales_Data_Analysis].[City].[All]" allUniqueName="[_9__Sales_Data_Analysis].[City].[All]" dimensionUniqueName="[_9__Sales_Data_Analysis]" displayFolder="" count="2" memberValueDatatype="130" unbalanced="0">
      <fieldsUsage count="2">
        <fieldUsage x="-1"/>
        <fieldUsage x="1"/>
      </fieldsUsage>
    </cacheHierarchy>
    <cacheHierarchy uniqueName="[_9__Sales_Data_Analysis].[revenue]" caption="revenue" attribute="1" defaultMemberUniqueName="[_9__Sales_Data_Analysis].[revenue].[All]" allUniqueName="[_9__Sales_Data_Analysis].[revenue].[All]" dimensionUniqueName="[_9__Sales_Data_Analysis]" displayFolder="" count="0" memberValueDatatype="5" unbalanced="0"/>
    <cacheHierarchy uniqueName="[Measures].[__XL_Count _9__Sales_Data_Analysis]" caption="__XL_Count _9__Sales_Data_Analysis" measure="1" displayFolder="" measureGroup="_9__Sales_Data_Analysis" count="0" hidden="1"/>
    <cacheHierarchy uniqueName="[Measures].[__No measures defined]" caption="__No measures defined" measure="1" displayFolder="" count="0" hidden="1"/>
    <cacheHierarchy uniqueName="[Measures].[Sum of Quantity]" caption="Sum of Quantity" measure="1" displayFolder="" measureGroup="_9__Sales_Data_Analysis"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_9__Sales_Data_Analysis" count="0" hidden="1">
      <extLst>
        <ext xmlns:x15="http://schemas.microsoft.com/office/spreadsheetml/2010/11/main" uri="{B97F6D7D-B522-45F9-BDA1-12C45D357490}">
          <x15:cacheHierarchy aggregatedColumn="9"/>
        </ext>
      </extLst>
    </cacheHierarchy>
    <cacheHierarchy uniqueName="[Measures].[Average of revenue]" caption="Average of revenue" measure="1" displayFolder="" measureGroup="_9__Sales_Data_Analysis"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name="_9__Sales_Data_Analysis" uniqueName="[_9__Sales_Data_Analysis]" caption="_9__Sales_Data_Analysis"/>
    <dimension measure="1" name="Measures" uniqueName="[Measures]" caption="Measures"/>
  </dimensions>
  <measureGroups count="1">
    <measureGroup name="_9__Sales_Data_Analysis" caption="_9__Sales_Data_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 dhanush" refreshedDate="46011.662253472219" backgroundQuery="1" createdVersion="8" refreshedVersion="8" minRefreshableVersion="3" recordCount="0" supportSubquery="1" supportAdvancedDrill="1" xr:uid="{6F4EA1F7-3547-4B78-B4E9-B6687C48B35B}">
  <cacheSource type="external" connectionId="2"/>
  <cacheFields count="3">
    <cacheField name="[_9__Sales_Data_Analysis].[City].[City]" caption="City" numFmtId="0" hierarchy="8" level="1">
      <sharedItems count="5">
        <s v="Berlin"/>
        <s v="Lisbon"/>
        <s v="London"/>
        <s v="Madrid"/>
        <s v="Paris"/>
      </sharedItems>
    </cacheField>
    <cacheField name="[Measures].[Sum of revenue]" caption="Sum of revenue" numFmtId="0" hierarchy="13" level="32767"/>
    <cacheField name="[_9__Sales_Data_Analysis].[Payment Method].[Payment Method]" caption="Payment Method" numFmtId="0" hierarchy="6" level="1">
      <sharedItems containsSemiMixedTypes="0" containsNonDate="0" containsString="0"/>
    </cacheField>
  </cacheFields>
  <cacheHierarchies count="15">
    <cacheHierarchy uniqueName="[_9__Sales_Data_Analysis].[Order ID]" caption="Order ID" attribute="1" defaultMemberUniqueName="[_9__Sales_Data_Analysis].[Order ID].[All]" allUniqueName="[_9__Sales_Data_Analysis].[Order ID].[All]" dimensionUniqueName="[_9__Sales_Data_Analysis]" displayFolder="" count="2" memberValueDatatype="20" unbalanced="0"/>
    <cacheHierarchy uniqueName="[_9__Sales_Data_Analysis].[Date]" caption="Date" attribute="1" time="1" defaultMemberUniqueName="[_9__Sales_Data_Analysis].[Date].[All]" allUniqueName="[_9__Sales_Data_Analysis].[Date].[All]" dimensionUniqueName="[_9__Sales_Data_Analysis]" displayFolder="" count="2" memberValueDatatype="7" unbalanced="0"/>
    <cacheHierarchy uniqueName="[_9__Sales_Data_Analysis].[Product]" caption="Product" attribute="1" defaultMemberUniqueName="[_9__Sales_Data_Analysis].[Product].[All]" allUniqueName="[_9__Sales_Data_Analysis].[Product].[All]" dimensionUniqueName="[_9__Sales_Data_Analysis]" displayFolder="" count="2" memberValueDatatype="130" unbalanced="0"/>
    <cacheHierarchy uniqueName="[_9__Sales_Data_Analysis].[Price]" caption="Price" attribute="1" defaultMemberUniqueName="[_9__Sales_Data_Analysis].[Price].[All]" allUniqueName="[_9__Sales_Data_Analysis].[Price].[All]" dimensionUniqueName="[_9__Sales_Data_Analysis]" displayFolder="" count="2" memberValueDatatype="5" unbalanced="0"/>
    <cacheHierarchy uniqueName="[_9__Sales_Data_Analysis].[Quantity]" caption="Quantity" attribute="1" defaultMemberUniqueName="[_9__Sales_Data_Analysis].[Quantity].[All]" allUniqueName="[_9__Sales_Data_Analysis].[Quantity].[All]" dimensionUniqueName="[_9__Sales_Data_Analysis]" displayFolder="" count="2" memberValueDatatype="5" unbalanced="0"/>
    <cacheHierarchy uniqueName="[_9__Sales_Data_Analysis].[Purchase Type]" caption="Purchase Type" attribute="1" defaultMemberUniqueName="[_9__Sales_Data_Analysis].[Purchase Type].[All]" allUniqueName="[_9__Sales_Data_Analysis].[Purchase Type].[All]" dimensionUniqueName="[_9__Sales_Data_Analysis]" displayFolder="" count="2" memberValueDatatype="130" unbalanced="0"/>
    <cacheHierarchy uniqueName="[_9__Sales_Data_Analysis].[Payment Method]" caption="Payment Method" attribute="1" defaultMemberUniqueName="[_9__Sales_Data_Analysis].[Payment Method].[All]" allUniqueName="[_9__Sales_Data_Analysis].[Payment Method].[All]" dimensionUniqueName="[_9__Sales_Data_Analysis]" displayFolder="" count="2" memberValueDatatype="130" unbalanced="0">
      <fieldsUsage count="2">
        <fieldUsage x="-1"/>
        <fieldUsage x="2"/>
      </fieldsUsage>
    </cacheHierarchy>
    <cacheHierarchy uniqueName="[_9__Sales_Data_Analysis].[Manager]" caption="Manager" attribute="1" defaultMemberUniqueName="[_9__Sales_Data_Analysis].[Manager].[All]" allUniqueName="[_9__Sales_Data_Analysis].[Manager].[All]" dimensionUniqueName="[_9__Sales_Data_Analysis]" displayFolder="" count="2" memberValueDatatype="130" unbalanced="0"/>
    <cacheHierarchy uniqueName="[_9__Sales_Data_Analysis].[City]" caption="City" attribute="1" defaultMemberUniqueName="[_9__Sales_Data_Analysis].[City].[All]" allUniqueName="[_9__Sales_Data_Analysis].[City].[All]" dimensionUniqueName="[_9__Sales_Data_Analysis]" displayFolder="" count="2" memberValueDatatype="130" unbalanced="0">
      <fieldsUsage count="2">
        <fieldUsage x="-1"/>
        <fieldUsage x="0"/>
      </fieldsUsage>
    </cacheHierarchy>
    <cacheHierarchy uniqueName="[_9__Sales_Data_Analysis].[revenue]" caption="revenue" attribute="1" defaultMemberUniqueName="[_9__Sales_Data_Analysis].[revenue].[All]" allUniqueName="[_9__Sales_Data_Analysis].[revenue].[All]" dimensionUniqueName="[_9__Sales_Data_Analysis]" displayFolder="" count="2" memberValueDatatype="5" unbalanced="0"/>
    <cacheHierarchy uniqueName="[Measures].[__XL_Count _9__Sales_Data_Analysis]" caption="__XL_Count _9__Sales_Data_Analysis" measure="1" displayFolder="" measureGroup="_9__Sales_Data_Analysis" count="0" hidden="1"/>
    <cacheHierarchy uniqueName="[Measures].[__No measures defined]" caption="__No measures defined" measure="1" displayFolder="" count="0" hidden="1"/>
    <cacheHierarchy uniqueName="[Measures].[Sum of Quantity]" caption="Sum of Quantity" measure="1" displayFolder="" measureGroup="_9__Sales_Data_Analysis"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_9__Sales_Data_Analysis"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revenue]" caption="Average of revenue" measure="1" displayFolder="" measureGroup="_9__Sales_Data_Analysis" count="0" hidden="1">
      <extLst>
        <ext xmlns:x15="http://schemas.microsoft.com/office/spreadsheetml/2010/11/main" uri="{B97F6D7D-B522-45F9-BDA1-12C45D357490}">
          <x15:cacheHierarchy aggregatedColumn="9"/>
        </ext>
      </extLst>
    </cacheHierarchy>
  </cacheHierarchies>
  <kpis count="0"/>
  <dimensions count="2">
    <dimension name="_9__Sales_Data_Analysis" uniqueName="[_9__Sales_Data_Analysis]" caption="_9__Sales_Data_Analysis"/>
    <dimension measure="1" name="Measures" uniqueName="[Measures]" caption="Measures"/>
  </dimensions>
  <measureGroups count="1">
    <measureGroup name="_9__Sales_Data_Analysis" caption="_9__Sales_Data_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 dhanush" refreshedDate="46002.470380208331" backgroundQuery="1" createdVersion="3" refreshedVersion="8" minRefreshableVersion="3" recordCount="0" supportSubquery="1" supportAdvancedDrill="1" xr:uid="{55559C25-496E-484B-84A5-5B706147D0E6}">
  <cacheSource type="external" connectionId="2">
    <extLst>
      <ext xmlns:x14="http://schemas.microsoft.com/office/spreadsheetml/2009/9/main" uri="{F057638F-6D5F-4e77-A914-E7F072B9BCA8}">
        <x14:sourceConnection name="ThisWorkbookDataModel"/>
      </ext>
    </extLst>
  </cacheSource>
  <cacheFields count="0"/>
  <cacheHierarchies count="15">
    <cacheHierarchy uniqueName="[_9__Sales_Data_Analysis].[Order ID]" caption="Order ID" attribute="1" defaultMemberUniqueName="[_9__Sales_Data_Analysis].[Order ID].[All]" allUniqueName="[_9__Sales_Data_Analysis].[Order ID].[All]" dimensionUniqueName="[_9__Sales_Data_Analysis]" displayFolder="" count="0" memberValueDatatype="20" unbalanced="0"/>
    <cacheHierarchy uniqueName="[_9__Sales_Data_Analysis].[Date]" caption="Date" attribute="1" time="1" defaultMemberUniqueName="[_9__Sales_Data_Analysis].[Date].[All]" allUniqueName="[_9__Sales_Data_Analysis].[Date].[All]" dimensionUniqueName="[_9__Sales_Data_Analysis]" displayFolder="" count="0" memberValueDatatype="7" unbalanced="0"/>
    <cacheHierarchy uniqueName="[_9__Sales_Data_Analysis].[Product]" caption="Product" attribute="1" defaultMemberUniqueName="[_9__Sales_Data_Analysis].[Product].[All]" allUniqueName="[_9__Sales_Data_Analysis].[Product].[All]" dimensionUniqueName="[_9__Sales_Data_Analysis]" displayFolder="" count="0" memberValueDatatype="130" unbalanced="0"/>
    <cacheHierarchy uniqueName="[_9__Sales_Data_Analysis].[Price]" caption="Price" attribute="1" defaultMemberUniqueName="[_9__Sales_Data_Analysis].[Price].[All]" allUniqueName="[_9__Sales_Data_Analysis].[Price].[All]" dimensionUniqueName="[_9__Sales_Data_Analysis]" displayFolder="" count="0" memberValueDatatype="5" unbalanced="0"/>
    <cacheHierarchy uniqueName="[_9__Sales_Data_Analysis].[Quantity]" caption="Quantity" attribute="1" defaultMemberUniqueName="[_9__Sales_Data_Analysis].[Quantity].[All]" allUniqueName="[_9__Sales_Data_Analysis].[Quantity].[All]" dimensionUniqueName="[_9__Sales_Data_Analysis]" displayFolder="" count="0" memberValueDatatype="5" unbalanced="0"/>
    <cacheHierarchy uniqueName="[_9__Sales_Data_Analysis].[Purchase Type]" caption="Purchase Type" attribute="1" defaultMemberUniqueName="[_9__Sales_Data_Analysis].[Purchase Type].[All]" allUniqueName="[_9__Sales_Data_Analysis].[Purchase Type].[All]" dimensionUniqueName="[_9__Sales_Data_Analysis]" displayFolder="" count="2" memberValueDatatype="130" unbalanced="0"/>
    <cacheHierarchy uniqueName="[_9__Sales_Data_Analysis].[Payment Method]" caption="Payment Method" attribute="1" defaultMemberUniqueName="[_9__Sales_Data_Analysis].[Payment Method].[All]" allUniqueName="[_9__Sales_Data_Analysis].[Payment Method].[All]" dimensionUniqueName="[_9__Sales_Data_Analysis]" displayFolder="" count="2" memberValueDatatype="130" unbalanced="0"/>
    <cacheHierarchy uniqueName="[_9__Sales_Data_Analysis].[Manager]" caption="Manager" attribute="1" defaultMemberUniqueName="[_9__Sales_Data_Analysis].[Manager].[All]" allUniqueName="[_9__Sales_Data_Analysis].[Manager].[All]" dimensionUniqueName="[_9__Sales_Data_Analysis]" displayFolder="" count="0" memberValueDatatype="130" unbalanced="0"/>
    <cacheHierarchy uniqueName="[_9__Sales_Data_Analysis].[City]" caption="City" attribute="1" defaultMemberUniqueName="[_9__Sales_Data_Analysis].[City].[All]" allUniqueName="[_9__Sales_Data_Analysis].[City].[All]" dimensionUniqueName="[_9__Sales_Data_Analysis]" displayFolder="" count="0" memberValueDatatype="130" unbalanced="0"/>
    <cacheHierarchy uniqueName="[_9__Sales_Data_Analysis].[revenue]" caption="revenue" attribute="1" defaultMemberUniqueName="[_9__Sales_Data_Analysis].[revenue].[All]" allUniqueName="[_9__Sales_Data_Analysis].[revenue].[All]" dimensionUniqueName="[_9__Sales_Data_Analysis]" displayFolder="" count="0" memberValueDatatype="5" unbalanced="0"/>
    <cacheHierarchy uniqueName="[Measures].[__XL_Count _9__Sales_Data_Analysis]" caption="__XL_Count _9__Sales_Data_Analysis" measure="1" displayFolder="" measureGroup="_9__Sales_Data_Analysis" count="0" hidden="1"/>
    <cacheHierarchy uniqueName="[Measures].[__No measures defined]" caption="__No measures defined" measure="1" displayFolder="" count="0" hidden="1"/>
    <cacheHierarchy uniqueName="[Measures].[Sum of Quantity]" caption="Sum of Quantity" measure="1" displayFolder="" measureGroup="_9__Sales_Data_Analysis" count="0" hidden="1">
      <extLst>
        <ext xmlns:x15="http://schemas.microsoft.com/office/spreadsheetml/2010/11/main" uri="{B97F6D7D-B522-45F9-BDA1-12C45D357490}">
          <x15:cacheHierarchy aggregatedColumn="4"/>
        </ext>
      </extLst>
    </cacheHierarchy>
    <cacheHierarchy uniqueName="[Measures].[Sum of revenue]" caption="Sum of revenue" measure="1" displayFolder="" measureGroup="_9__Sales_Data_Analysis" count="0" hidden="1">
      <extLst>
        <ext xmlns:x15="http://schemas.microsoft.com/office/spreadsheetml/2010/11/main" uri="{B97F6D7D-B522-45F9-BDA1-12C45D357490}">
          <x15:cacheHierarchy aggregatedColumn="9"/>
        </ext>
      </extLst>
    </cacheHierarchy>
    <cacheHierarchy uniqueName="[Measures].[Average of revenue]" caption="Average of revenue" measure="1" displayFolder="" measureGroup="_9__Sales_Data_Analysis"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3654135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n v="10452"/>
    <x v="0"/>
    <x v="0"/>
    <x v="0"/>
    <n v="573.07000000000005"/>
    <x v="0"/>
    <x v="0"/>
    <x v="0"/>
    <x v="0"/>
  </r>
  <r>
    <n v="10453"/>
    <x v="0"/>
    <x v="1"/>
    <x v="1"/>
    <n v="745.76"/>
    <x v="0"/>
    <x v="0"/>
    <x v="1"/>
    <x v="1"/>
  </r>
  <r>
    <n v="10454"/>
    <x v="0"/>
    <x v="2"/>
    <x v="2"/>
    <n v="200.4"/>
    <x v="1"/>
    <x v="0"/>
    <x v="2"/>
    <x v="2"/>
  </r>
  <r>
    <n v="10455"/>
    <x v="1"/>
    <x v="3"/>
    <x v="3"/>
    <n v="569.66999999999996"/>
    <x v="1"/>
    <x v="1"/>
    <x v="3"/>
    <x v="3"/>
  </r>
  <r>
    <n v="10456"/>
    <x v="1"/>
    <x v="4"/>
    <x v="4"/>
    <n v="201.01"/>
    <x v="1"/>
    <x v="1"/>
    <x v="3"/>
    <x v="3"/>
  </r>
  <r>
    <n v="10457"/>
    <x v="1"/>
    <x v="0"/>
    <x v="0"/>
    <n v="573.07000000000005"/>
    <x v="1"/>
    <x v="1"/>
    <x v="4"/>
    <x v="4"/>
  </r>
  <r>
    <n v="10459"/>
    <x v="1"/>
    <x v="2"/>
    <x v="2"/>
    <n v="200.4"/>
    <x v="1"/>
    <x v="1"/>
    <x v="3"/>
    <x v="3"/>
  </r>
  <r>
    <n v="10460"/>
    <x v="2"/>
    <x v="3"/>
    <x v="3"/>
    <n v="554.27"/>
    <x v="1"/>
    <x v="1"/>
    <x v="5"/>
    <x v="4"/>
  </r>
  <r>
    <n v="10461"/>
    <x v="2"/>
    <x v="4"/>
    <x v="4"/>
    <n v="201.01"/>
    <x v="1"/>
    <x v="1"/>
    <x v="5"/>
    <x v="4"/>
  </r>
  <r>
    <n v="10462"/>
    <x v="2"/>
    <x v="0"/>
    <x v="0"/>
    <n v="573.07000000000005"/>
    <x v="1"/>
    <x v="1"/>
    <x v="6"/>
    <x v="4"/>
  </r>
  <r>
    <n v="10463"/>
    <x v="2"/>
    <x v="1"/>
    <x v="1"/>
    <n v="677.97"/>
    <x v="1"/>
    <x v="1"/>
    <x v="6"/>
    <x v="4"/>
  </r>
  <r>
    <n v="10464"/>
    <x v="2"/>
    <x v="2"/>
    <x v="2"/>
    <n v="200.4"/>
    <x v="1"/>
    <x v="1"/>
    <x v="7"/>
    <x v="4"/>
  </r>
  <r>
    <n v="10465"/>
    <x v="3"/>
    <x v="3"/>
    <x v="3"/>
    <n v="554.27"/>
    <x v="1"/>
    <x v="1"/>
    <x v="8"/>
    <x v="1"/>
  </r>
  <r>
    <n v="10466"/>
    <x v="3"/>
    <x v="4"/>
    <x v="4"/>
    <n v="201.01"/>
    <x v="1"/>
    <x v="1"/>
    <x v="8"/>
    <x v="1"/>
  </r>
  <r>
    <n v="10467"/>
    <x v="3"/>
    <x v="0"/>
    <x v="0"/>
    <n v="573.07000000000005"/>
    <x v="1"/>
    <x v="1"/>
    <x v="8"/>
    <x v="1"/>
  </r>
  <r>
    <n v="10468"/>
    <x v="3"/>
    <x v="1"/>
    <x v="1"/>
    <n v="677.97"/>
    <x v="1"/>
    <x v="1"/>
    <x v="1"/>
    <x v="1"/>
  </r>
  <r>
    <n v="10470"/>
    <x v="4"/>
    <x v="3"/>
    <x v="3"/>
    <n v="554.27"/>
    <x v="1"/>
    <x v="1"/>
    <x v="1"/>
    <x v="1"/>
  </r>
  <r>
    <n v="10471"/>
    <x v="4"/>
    <x v="4"/>
    <x v="4"/>
    <n v="201.01"/>
    <x v="1"/>
    <x v="1"/>
    <x v="1"/>
    <x v="1"/>
  </r>
  <r>
    <n v="10472"/>
    <x v="4"/>
    <x v="0"/>
    <x v="0"/>
    <n v="630.37"/>
    <x v="1"/>
    <x v="1"/>
    <x v="9"/>
    <x v="1"/>
  </r>
  <r>
    <n v="10473"/>
    <x v="4"/>
    <x v="1"/>
    <x v="1"/>
    <n v="677.97"/>
    <x v="1"/>
    <x v="1"/>
    <x v="1"/>
    <x v="1"/>
  </r>
  <r>
    <n v="10474"/>
    <x v="4"/>
    <x v="2"/>
    <x v="2"/>
    <n v="200.4"/>
    <x v="1"/>
    <x v="1"/>
    <x v="1"/>
    <x v="1"/>
  </r>
  <r>
    <n v="10475"/>
    <x v="5"/>
    <x v="3"/>
    <x v="3"/>
    <n v="523.48"/>
    <x v="1"/>
    <x v="1"/>
    <x v="1"/>
    <x v="1"/>
  </r>
  <r>
    <n v="10476"/>
    <x v="5"/>
    <x v="4"/>
    <x v="4"/>
    <n v="201.01"/>
    <x v="1"/>
    <x v="1"/>
    <x v="8"/>
    <x v="1"/>
  </r>
  <r>
    <n v="10477"/>
    <x v="5"/>
    <x v="0"/>
    <x v="0"/>
    <n v="630.37"/>
    <x v="1"/>
    <x v="1"/>
    <x v="10"/>
    <x v="1"/>
  </r>
  <r>
    <n v="10478"/>
    <x v="5"/>
    <x v="1"/>
    <x v="1"/>
    <n v="677.97"/>
    <x v="1"/>
    <x v="1"/>
    <x v="8"/>
    <x v="1"/>
  </r>
  <r>
    <n v="10479"/>
    <x v="5"/>
    <x v="2"/>
    <x v="2"/>
    <n v="200.4"/>
    <x v="1"/>
    <x v="1"/>
    <x v="11"/>
    <x v="1"/>
  </r>
  <r>
    <n v="10480"/>
    <x v="6"/>
    <x v="3"/>
    <x v="3"/>
    <n v="508.08"/>
    <x v="1"/>
    <x v="1"/>
    <x v="8"/>
    <x v="1"/>
  </r>
  <r>
    <n v="10481"/>
    <x v="6"/>
    <x v="4"/>
    <x v="4"/>
    <n v="201.01"/>
    <x v="1"/>
    <x v="1"/>
    <x v="8"/>
    <x v="1"/>
  </r>
  <r>
    <n v="10482"/>
    <x v="6"/>
    <x v="0"/>
    <x v="5"/>
    <n v="630.37"/>
    <x v="1"/>
    <x v="1"/>
    <x v="12"/>
    <x v="2"/>
  </r>
  <r>
    <n v="10486"/>
    <x v="7"/>
    <x v="4"/>
    <x v="6"/>
    <n v="201.01"/>
    <x v="1"/>
    <x v="1"/>
    <x v="2"/>
    <x v="2"/>
  </r>
  <r>
    <n v="10487"/>
    <x v="7"/>
    <x v="0"/>
    <x v="0"/>
    <n v="630.37"/>
    <x v="1"/>
    <x v="1"/>
    <x v="12"/>
    <x v="2"/>
  </r>
  <r>
    <n v="10488"/>
    <x v="7"/>
    <x v="1"/>
    <x v="1"/>
    <n v="677.97"/>
    <x v="1"/>
    <x v="1"/>
    <x v="12"/>
    <x v="2"/>
  </r>
  <r>
    <n v="10489"/>
    <x v="7"/>
    <x v="2"/>
    <x v="2"/>
    <n v="200.4"/>
    <x v="1"/>
    <x v="1"/>
    <x v="8"/>
    <x v="1"/>
  </r>
  <r>
    <n v="10490"/>
    <x v="8"/>
    <x v="3"/>
    <x v="3"/>
    <n v="508.08"/>
    <x v="1"/>
    <x v="1"/>
    <x v="8"/>
    <x v="1"/>
  </r>
  <r>
    <n v="10491"/>
    <x v="8"/>
    <x v="4"/>
    <x v="4"/>
    <n v="201.01"/>
    <x v="1"/>
    <x v="1"/>
    <x v="8"/>
    <x v="1"/>
  </r>
  <r>
    <n v="10492"/>
    <x v="8"/>
    <x v="0"/>
    <x v="0"/>
    <n v="573.07000000000005"/>
    <x v="1"/>
    <x v="1"/>
    <x v="8"/>
    <x v="1"/>
  </r>
  <r>
    <n v="10493"/>
    <x v="8"/>
    <x v="1"/>
    <x v="1"/>
    <n v="677.97"/>
    <x v="1"/>
    <x v="1"/>
    <x v="8"/>
    <x v="1"/>
  </r>
  <r>
    <n v="10494"/>
    <x v="8"/>
    <x v="2"/>
    <x v="2"/>
    <n v="200.4"/>
    <x v="1"/>
    <x v="1"/>
    <x v="8"/>
    <x v="1"/>
  </r>
  <r>
    <n v="10495"/>
    <x v="9"/>
    <x v="3"/>
    <x v="3"/>
    <n v="508.08"/>
    <x v="1"/>
    <x v="1"/>
    <x v="8"/>
    <x v="1"/>
  </r>
  <r>
    <n v="10496"/>
    <x v="9"/>
    <x v="4"/>
    <x v="4"/>
    <n v="201.01"/>
    <x v="1"/>
    <x v="1"/>
    <x v="8"/>
    <x v="1"/>
  </r>
  <r>
    <n v="10497"/>
    <x v="9"/>
    <x v="0"/>
    <x v="0"/>
    <n v="573.07000000000005"/>
    <x v="1"/>
    <x v="1"/>
    <x v="8"/>
    <x v="1"/>
  </r>
  <r>
    <n v="10498"/>
    <x v="9"/>
    <x v="1"/>
    <x v="1"/>
    <n v="677.97"/>
    <x v="2"/>
    <x v="1"/>
    <x v="8"/>
    <x v="1"/>
  </r>
  <r>
    <n v="10499"/>
    <x v="9"/>
    <x v="2"/>
    <x v="2"/>
    <n v="200.4"/>
    <x v="2"/>
    <x v="1"/>
    <x v="8"/>
    <x v="1"/>
  </r>
  <r>
    <n v="10500"/>
    <x v="10"/>
    <x v="3"/>
    <x v="3"/>
    <n v="523.48"/>
    <x v="2"/>
    <x v="1"/>
    <x v="8"/>
    <x v="1"/>
  </r>
  <r>
    <n v="10501"/>
    <x v="10"/>
    <x v="4"/>
    <x v="4"/>
    <n v="201.01"/>
    <x v="2"/>
    <x v="1"/>
    <x v="8"/>
    <x v="1"/>
  </r>
  <r>
    <n v="10502"/>
    <x v="10"/>
    <x v="0"/>
    <x v="0"/>
    <n v="630.37"/>
    <x v="2"/>
    <x v="1"/>
    <x v="8"/>
    <x v="1"/>
  </r>
  <r>
    <n v="10503"/>
    <x v="10"/>
    <x v="1"/>
    <x v="1"/>
    <n v="677.97"/>
    <x v="2"/>
    <x v="1"/>
    <x v="8"/>
    <x v="1"/>
  </r>
  <r>
    <n v="10504"/>
    <x v="10"/>
    <x v="2"/>
    <x v="2"/>
    <n v="200.4"/>
    <x v="2"/>
    <x v="1"/>
    <x v="8"/>
    <x v="1"/>
  </r>
  <r>
    <n v="10505"/>
    <x v="11"/>
    <x v="3"/>
    <x v="3"/>
    <n v="538.88"/>
    <x v="2"/>
    <x v="1"/>
    <x v="8"/>
    <x v="1"/>
  </r>
  <r>
    <n v="10506"/>
    <x v="11"/>
    <x v="4"/>
    <x v="4"/>
    <n v="201.01"/>
    <x v="2"/>
    <x v="1"/>
    <x v="8"/>
    <x v="1"/>
  </r>
  <r>
    <n v="10507"/>
    <x v="11"/>
    <x v="0"/>
    <x v="0"/>
    <n v="687.68"/>
    <x v="2"/>
    <x v="1"/>
    <x v="8"/>
    <x v="1"/>
  </r>
  <r>
    <n v="10508"/>
    <x v="11"/>
    <x v="1"/>
    <x v="1"/>
    <n v="677.97"/>
    <x v="2"/>
    <x v="1"/>
    <x v="8"/>
    <x v="1"/>
  </r>
  <r>
    <n v="10509"/>
    <x v="11"/>
    <x v="2"/>
    <x v="2"/>
    <n v="200.4"/>
    <x v="2"/>
    <x v="1"/>
    <x v="8"/>
    <x v="1"/>
  </r>
  <r>
    <n v="10510"/>
    <x v="12"/>
    <x v="3"/>
    <x v="3"/>
    <n v="508.08"/>
    <x v="2"/>
    <x v="1"/>
    <x v="8"/>
    <x v="1"/>
  </r>
  <r>
    <n v="10511"/>
    <x v="12"/>
    <x v="4"/>
    <x v="4"/>
    <n v="201.01"/>
    <x v="2"/>
    <x v="1"/>
    <x v="12"/>
    <x v="2"/>
  </r>
  <r>
    <n v="10512"/>
    <x v="12"/>
    <x v="0"/>
    <x v="0"/>
    <n v="687.68"/>
    <x v="2"/>
    <x v="1"/>
    <x v="12"/>
    <x v="2"/>
  </r>
  <r>
    <n v="10513"/>
    <x v="12"/>
    <x v="1"/>
    <x v="1"/>
    <n v="677.97"/>
    <x v="2"/>
    <x v="2"/>
    <x v="12"/>
    <x v="2"/>
  </r>
  <r>
    <n v="10514"/>
    <x v="12"/>
    <x v="2"/>
    <x v="2"/>
    <n v="200.4"/>
    <x v="2"/>
    <x v="2"/>
    <x v="12"/>
    <x v="2"/>
  </r>
  <r>
    <n v="10515"/>
    <x v="13"/>
    <x v="3"/>
    <x v="3"/>
    <n v="477.29"/>
    <x v="2"/>
    <x v="2"/>
    <x v="12"/>
    <x v="2"/>
  </r>
  <r>
    <n v="10516"/>
    <x v="13"/>
    <x v="4"/>
    <x v="4"/>
    <n v="201.01"/>
    <x v="2"/>
    <x v="2"/>
    <x v="12"/>
    <x v="2"/>
  </r>
  <r>
    <n v="10483"/>
    <x v="6"/>
    <x v="1"/>
    <x v="1"/>
    <n v="677.97"/>
    <x v="1"/>
    <x v="1"/>
    <x v="2"/>
    <x v="2"/>
  </r>
  <r>
    <n v="10484"/>
    <x v="6"/>
    <x v="2"/>
    <x v="2"/>
    <n v="200.4"/>
    <x v="1"/>
    <x v="1"/>
    <x v="2"/>
    <x v="2"/>
  </r>
  <r>
    <n v="10485"/>
    <x v="7"/>
    <x v="3"/>
    <x v="3"/>
    <n v="523.48"/>
    <x v="1"/>
    <x v="1"/>
    <x v="2"/>
    <x v="2"/>
  </r>
  <r>
    <n v="10520"/>
    <x v="14"/>
    <x v="3"/>
    <x v="3"/>
    <n v="492.69"/>
    <x v="2"/>
    <x v="2"/>
    <x v="5"/>
    <x v="4"/>
  </r>
  <r>
    <n v="10521"/>
    <x v="14"/>
    <x v="4"/>
    <x v="4"/>
    <n v="201.01"/>
    <x v="2"/>
    <x v="2"/>
    <x v="5"/>
    <x v="4"/>
  </r>
  <r>
    <n v="10522"/>
    <x v="14"/>
    <x v="0"/>
    <x v="0"/>
    <n v="687.68"/>
    <x v="2"/>
    <x v="2"/>
    <x v="5"/>
    <x v="4"/>
  </r>
  <r>
    <n v="10523"/>
    <x v="14"/>
    <x v="1"/>
    <x v="1"/>
    <n v="745.76"/>
    <x v="2"/>
    <x v="2"/>
    <x v="5"/>
    <x v="4"/>
  </r>
  <r>
    <n v="10524"/>
    <x v="14"/>
    <x v="2"/>
    <x v="2"/>
    <n v="200.4"/>
    <x v="2"/>
    <x v="2"/>
    <x v="5"/>
    <x v="4"/>
  </r>
  <r>
    <n v="10525"/>
    <x v="15"/>
    <x v="3"/>
    <x v="3"/>
    <n v="461.89"/>
    <x v="2"/>
    <x v="2"/>
    <x v="5"/>
    <x v="4"/>
  </r>
  <r>
    <n v="10526"/>
    <x v="15"/>
    <x v="4"/>
    <x v="4"/>
    <n v="201.01"/>
    <x v="2"/>
    <x v="2"/>
    <x v="5"/>
    <x v="4"/>
  </r>
  <r>
    <n v="10527"/>
    <x v="15"/>
    <x v="0"/>
    <x v="0"/>
    <n v="687.68"/>
    <x v="2"/>
    <x v="2"/>
    <x v="5"/>
    <x v="4"/>
  </r>
  <r>
    <n v="10528"/>
    <x v="15"/>
    <x v="1"/>
    <x v="1"/>
    <n v="745.76"/>
    <x v="2"/>
    <x v="2"/>
    <x v="5"/>
    <x v="4"/>
  </r>
  <r>
    <n v="10529"/>
    <x v="15"/>
    <x v="2"/>
    <x v="2"/>
    <n v="200.4"/>
    <x v="2"/>
    <x v="2"/>
    <x v="5"/>
    <x v="4"/>
  </r>
  <r>
    <n v="10530"/>
    <x v="16"/>
    <x v="3"/>
    <x v="3"/>
    <n v="477.29"/>
    <x v="2"/>
    <x v="2"/>
    <x v="5"/>
    <x v="4"/>
  </r>
  <r>
    <n v="10531"/>
    <x v="16"/>
    <x v="4"/>
    <x v="4"/>
    <n v="201.01"/>
    <x v="2"/>
    <x v="2"/>
    <x v="5"/>
    <x v="4"/>
  </r>
  <r>
    <n v="10532"/>
    <x v="16"/>
    <x v="0"/>
    <x v="0"/>
    <n v="687.68"/>
    <x v="2"/>
    <x v="2"/>
    <x v="12"/>
    <x v="2"/>
  </r>
  <r>
    <n v="10533"/>
    <x v="16"/>
    <x v="1"/>
    <x v="1"/>
    <n v="745.76"/>
    <x v="2"/>
    <x v="2"/>
    <x v="12"/>
    <x v="2"/>
  </r>
  <r>
    <n v="10534"/>
    <x v="16"/>
    <x v="2"/>
    <x v="2"/>
    <n v="200.4"/>
    <x v="2"/>
    <x v="2"/>
    <x v="8"/>
    <x v="1"/>
  </r>
  <r>
    <n v="10535"/>
    <x v="17"/>
    <x v="3"/>
    <x v="3"/>
    <n v="477.29"/>
    <x v="2"/>
    <x v="1"/>
    <x v="8"/>
    <x v="1"/>
  </r>
  <r>
    <n v="10536"/>
    <x v="17"/>
    <x v="4"/>
    <x v="4"/>
    <n v="201.01"/>
    <x v="2"/>
    <x v="1"/>
    <x v="8"/>
    <x v="1"/>
  </r>
  <r>
    <n v="10540"/>
    <x v="18"/>
    <x v="3"/>
    <x v="3"/>
    <n v="461.89"/>
    <x v="2"/>
    <x v="1"/>
    <x v="8"/>
    <x v="1"/>
  </r>
  <r>
    <n v="10541"/>
    <x v="18"/>
    <x v="4"/>
    <x v="4"/>
    <n v="201.01"/>
    <x v="2"/>
    <x v="1"/>
    <x v="13"/>
    <x v="0"/>
  </r>
  <r>
    <n v="10542"/>
    <x v="18"/>
    <x v="0"/>
    <x v="0"/>
    <n v="630.37"/>
    <x v="2"/>
    <x v="1"/>
    <x v="13"/>
    <x v="0"/>
  </r>
  <r>
    <n v="10543"/>
    <x v="18"/>
    <x v="1"/>
    <x v="1"/>
    <n v="745.76"/>
    <x v="2"/>
    <x v="1"/>
    <x v="13"/>
    <x v="0"/>
  </r>
  <r>
    <n v="10544"/>
    <x v="18"/>
    <x v="2"/>
    <x v="2"/>
    <n v="200.4"/>
    <x v="2"/>
    <x v="1"/>
    <x v="13"/>
    <x v="0"/>
  </r>
  <r>
    <n v="10545"/>
    <x v="19"/>
    <x v="3"/>
    <x v="3"/>
    <n v="446.5"/>
    <x v="2"/>
    <x v="1"/>
    <x v="13"/>
    <x v="0"/>
  </r>
  <r>
    <n v="10546"/>
    <x v="19"/>
    <x v="4"/>
    <x v="4"/>
    <n v="201.01"/>
    <x v="2"/>
    <x v="1"/>
    <x v="13"/>
    <x v="0"/>
  </r>
  <r>
    <n v="10547"/>
    <x v="19"/>
    <x v="0"/>
    <x v="0"/>
    <n v="630.37"/>
    <x v="2"/>
    <x v="1"/>
    <x v="13"/>
    <x v="0"/>
  </r>
  <r>
    <n v="10548"/>
    <x v="19"/>
    <x v="1"/>
    <x v="1"/>
    <n v="745.76"/>
    <x v="2"/>
    <x v="1"/>
    <x v="13"/>
    <x v="0"/>
  </r>
  <r>
    <n v="10549"/>
    <x v="19"/>
    <x v="2"/>
    <x v="2"/>
    <n v="200.4"/>
    <x v="2"/>
    <x v="1"/>
    <x v="13"/>
    <x v="0"/>
  </r>
  <r>
    <n v="10550"/>
    <x v="20"/>
    <x v="3"/>
    <x v="3"/>
    <n v="461.89"/>
    <x v="2"/>
    <x v="1"/>
    <x v="13"/>
    <x v="0"/>
  </r>
  <r>
    <n v="10551"/>
    <x v="20"/>
    <x v="4"/>
    <x v="4"/>
    <n v="201.01"/>
    <x v="2"/>
    <x v="1"/>
    <x v="13"/>
    <x v="0"/>
  </r>
  <r>
    <n v="10552"/>
    <x v="20"/>
    <x v="0"/>
    <x v="0"/>
    <n v="630.37"/>
    <x v="0"/>
    <x v="1"/>
    <x v="13"/>
    <x v="0"/>
  </r>
  <r>
    <n v="10553"/>
    <x v="20"/>
    <x v="1"/>
    <x v="1"/>
    <n v="745.76"/>
    <x v="0"/>
    <x v="1"/>
    <x v="13"/>
    <x v="0"/>
  </r>
  <r>
    <n v="10554"/>
    <x v="20"/>
    <x v="2"/>
    <x v="2"/>
    <n v="200.4"/>
    <x v="0"/>
    <x v="1"/>
    <x v="13"/>
    <x v="0"/>
  </r>
  <r>
    <n v="10555"/>
    <x v="21"/>
    <x v="3"/>
    <x v="3"/>
    <n v="477.29"/>
    <x v="0"/>
    <x v="1"/>
    <x v="13"/>
    <x v="0"/>
  </r>
  <r>
    <n v="10556"/>
    <x v="21"/>
    <x v="4"/>
    <x v="4"/>
    <n v="201.01"/>
    <x v="0"/>
    <x v="1"/>
    <x v="13"/>
    <x v="0"/>
  </r>
  <r>
    <n v="10557"/>
    <x v="21"/>
    <x v="0"/>
    <x v="0"/>
    <n v="630.37"/>
    <x v="0"/>
    <x v="1"/>
    <x v="13"/>
    <x v="0"/>
  </r>
  <r>
    <n v="10558"/>
    <x v="21"/>
    <x v="1"/>
    <x v="1"/>
    <n v="677.97"/>
    <x v="0"/>
    <x v="1"/>
    <x v="13"/>
    <x v="0"/>
  </r>
  <r>
    <n v="10559"/>
    <x v="21"/>
    <x v="2"/>
    <x v="2"/>
    <n v="200.4"/>
    <x v="0"/>
    <x v="1"/>
    <x v="13"/>
    <x v="0"/>
  </r>
  <r>
    <n v="10560"/>
    <x v="22"/>
    <x v="3"/>
    <x v="3"/>
    <n v="477.29"/>
    <x v="0"/>
    <x v="1"/>
    <x v="13"/>
    <x v="0"/>
  </r>
  <r>
    <n v="10561"/>
    <x v="22"/>
    <x v="4"/>
    <x v="4"/>
    <n v="201.01"/>
    <x v="0"/>
    <x v="1"/>
    <x v="13"/>
    <x v="0"/>
  </r>
  <r>
    <n v="10562"/>
    <x v="22"/>
    <x v="0"/>
    <x v="0"/>
    <n v="630.37"/>
    <x v="0"/>
    <x v="1"/>
    <x v="13"/>
    <x v="0"/>
  </r>
  <r>
    <n v="10563"/>
    <x v="22"/>
    <x v="1"/>
    <x v="1"/>
    <n v="677.97"/>
    <x v="0"/>
    <x v="1"/>
    <x v="13"/>
    <x v="0"/>
  </r>
  <r>
    <n v="10564"/>
    <x v="22"/>
    <x v="2"/>
    <x v="2"/>
    <n v="200.4"/>
    <x v="0"/>
    <x v="1"/>
    <x v="13"/>
    <x v="0"/>
  </r>
  <r>
    <n v="10565"/>
    <x v="23"/>
    <x v="3"/>
    <x v="3"/>
    <n v="492.69"/>
    <x v="0"/>
    <x v="1"/>
    <x v="13"/>
    <x v="0"/>
  </r>
  <r>
    <n v="10566"/>
    <x v="23"/>
    <x v="4"/>
    <x v="4"/>
    <n v="201.01"/>
    <x v="0"/>
    <x v="1"/>
    <x v="13"/>
    <x v="0"/>
  </r>
  <r>
    <n v="10567"/>
    <x v="23"/>
    <x v="0"/>
    <x v="0"/>
    <n v="630.37"/>
    <x v="0"/>
    <x v="1"/>
    <x v="13"/>
    <x v="0"/>
  </r>
  <r>
    <n v="10568"/>
    <x v="23"/>
    <x v="1"/>
    <x v="1"/>
    <n v="677.97"/>
    <x v="0"/>
    <x v="1"/>
    <x v="13"/>
    <x v="0"/>
  </r>
  <r>
    <n v="10569"/>
    <x v="23"/>
    <x v="2"/>
    <x v="2"/>
    <n v="200.4"/>
    <x v="0"/>
    <x v="1"/>
    <x v="13"/>
    <x v="0"/>
  </r>
  <r>
    <n v="10570"/>
    <x v="24"/>
    <x v="3"/>
    <x v="3"/>
    <n v="492.69"/>
    <x v="0"/>
    <x v="1"/>
    <x v="13"/>
    <x v="0"/>
  </r>
  <r>
    <n v="10571"/>
    <x v="24"/>
    <x v="4"/>
    <x v="4"/>
    <n v="201.01"/>
    <x v="0"/>
    <x v="1"/>
    <x v="13"/>
    <x v="0"/>
  </r>
  <r>
    <n v="10572"/>
    <x v="24"/>
    <x v="0"/>
    <x v="0"/>
    <n v="573.07000000000005"/>
    <x v="0"/>
    <x v="1"/>
    <x v="5"/>
    <x v="4"/>
  </r>
  <r>
    <n v="10573"/>
    <x v="24"/>
    <x v="1"/>
    <x v="1"/>
    <n v="677.97"/>
    <x v="0"/>
    <x v="1"/>
    <x v="5"/>
    <x v="4"/>
  </r>
  <r>
    <n v="10574"/>
    <x v="24"/>
    <x v="2"/>
    <x v="2"/>
    <n v="200.4"/>
    <x v="0"/>
    <x v="1"/>
    <x v="5"/>
    <x v="4"/>
  </r>
  <r>
    <n v="10575"/>
    <x v="25"/>
    <x v="3"/>
    <x v="3"/>
    <n v="523.48"/>
    <x v="0"/>
    <x v="1"/>
    <x v="5"/>
    <x v="4"/>
  </r>
  <r>
    <n v="10576"/>
    <x v="25"/>
    <x v="4"/>
    <x v="4"/>
    <n v="201.01"/>
    <x v="0"/>
    <x v="1"/>
    <x v="5"/>
    <x v="4"/>
  </r>
  <r>
    <n v="10577"/>
    <x v="25"/>
    <x v="0"/>
    <x v="0"/>
    <n v="630.37"/>
    <x v="0"/>
    <x v="1"/>
    <x v="5"/>
    <x v="4"/>
  </r>
  <r>
    <n v="10578"/>
    <x v="25"/>
    <x v="1"/>
    <x v="1"/>
    <n v="677.97"/>
    <x v="0"/>
    <x v="1"/>
    <x v="5"/>
    <x v="4"/>
  </r>
  <r>
    <n v="10579"/>
    <x v="25"/>
    <x v="2"/>
    <x v="2"/>
    <n v="200.4"/>
    <x v="0"/>
    <x v="1"/>
    <x v="5"/>
    <x v="4"/>
  </r>
  <r>
    <n v="10580"/>
    <x v="26"/>
    <x v="3"/>
    <x v="3"/>
    <n v="523.48"/>
    <x v="0"/>
    <x v="1"/>
    <x v="5"/>
    <x v="4"/>
  </r>
  <r>
    <n v="10581"/>
    <x v="26"/>
    <x v="4"/>
    <x v="4"/>
    <n v="201.01"/>
    <x v="0"/>
    <x v="1"/>
    <x v="5"/>
    <x v="4"/>
  </r>
  <r>
    <n v="10582"/>
    <x v="26"/>
    <x v="0"/>
    <x v="0"/>
    <n v="630.37"/>
    <x v="0"/>
    <x v="1"/>
    <x v="13"/>
    <x v="0"/>
  </r>
  <r>
    <n v="10583"/>
    <x v="26"/>
    <x v="1"/>
    <x v="1"/>
    <n v="677.97"/>
    <x v="0"/>
    <x v="1"/>
    <x v="13"/>
    <x v="0"/>
  </r>
  <r>
    <n v="10584"/>
    <x v="26"/>
    <x v="2"/>
    <x v="2"/>
    <n v="200.4"/>
    <x v="0"/>
    <x v="1"/>
    <x v="13"/>
    <x v="0"/>
  </r>
  <r>
    <n v="10585"/>
    <x v="27"/>
    <x v="3"/>
    <x v="3"/>
    <n v="538.88"/>
    <x v="0"/>
    <x v="1"/>
    <x v="13"/>
    <x v="0"/>
  </r>
  <r>
    <n v="10586"/>
    <x v="27"/>
    <x v="4"/>
    <x v="4"/>
    <n v="201.01"/>
    <x v="0"/>
    <x v="1"/>
    <x v="13"/>
    <x v="0"/>
  </r>
  <r>
    <n v="10537"/>
    <x v="17"/>
    <x v="0"/>
    <x v="0"/>
    <n v="630.37"/>
    <x v="2"/>
    <x v="1"/>
    <x v="8"/>
    <x v="1"/>
  </r>
  <r>
    <n v="10538"/>
    <x v="17"/>
    <x v="1"/>
    <x v="1"/>
    <n v="745.76"/>
    <x v="2"/>
    <x v="1"/>
    <x v="8"/>
    <x v="1"/>
  </r>
  <r>
    <n v="10539"/>
    <x v="17"/>
    <x v="2"/>
    <x v="2"/>
    <n v="200.4"/>
    <x v="2"/>
    <x v="1"/>
    <x v="8"/>
    <x v="1"/>
  </r>
  <r>
    <n v="10590"/>
    <x v="28"/>
    <x v="3"/>
    <x v="3"/>
    <n v="554.27"/>
    <x v="0"/>
    <x v="1"/>
    <x v="13"/>
    <x v="0"/>
  </r>
  <r>
    <n v="10591"/>
    <x v="28"/>
    <x v="4"/>
    <x v="4"/>
    <n v="201.01"/>
    <x v="0"/>
    <x v="1"/>
    <x v="13"/>
    <x v="0"/>
  </r>
  <r>
    <n v="10592"/>
    <x v="28"/>
    <x v="0"/>
    <x v="0"/>
    <n v="573.07000000000005"/>
    <x v="0"/>
    <x v="1"/>
    <x v="13"/>
    <x v="0"/>
  </r>
  <r>
    <n v="10593"/>
    <x v="28"/>
    <x v="1"/>
    <x v="1"/>
    <n v="677.97"/>
    <x v="0"/>
    <x v="1"/>
    <x v="13"/>
    <x v="0"/>
  </r>
  <r>
    <n v="10594"/>
    <x v="28"/>
    <x v="2"/>
    <x v="2"/>
    <n v="200.4"/>
    <x v="0"/>
    <x v="1"/>
    <x v="13"/>
    <x v="0"/>
  </r>
  <r>
    <n v="10595"/>
    <x v="29"/>
    <x v="3"/>
    <x v="3"/>
    <n v="538.88"/>
    <x v="0"/>
    <x v="1"/>
    <x v="13"/>
    <x v="0"/>
  </r>
  <r>
    <n v="10596"/>
    <x v="29"/>
    <x v="4"/>
    <x v="4"/>
    <n v="201.01"/>
    <x v="0"/>
    <x v="1"/>
    <x v="13"/>
    <x v="0"/>
  </r>
  <r>
    <n v="10597"/>
    <x v="29"/>
    <x v="0"/>
    <x v="0"/>
    <n v="573.07000000000005"/>
    <x v="0"/>
    <x v="1"/>
    <x v="13"/>
    <x v="0"/>
  </r>
  <r>
    <n v="10598"/>
    <x v="29"/>
    <x v="1"/>
    <x v="1"/>
    <n v="677.97"/>
    <x v="0"/>
    <x v="1"/>
    <x v="13"/>
    <x v="0"/>
  </r>
  <r>
    <n v="10599"/>
    <x v="29"/>
    <x v="2"/>
    <x v="2"/>
    <n v="200.4"/>
    <x v="0"/>
    <x v="1"/>
    <x v="13"/>
    <x v="0"/>
  </r>
  <r>
    <n v="10600"/>
    <x v="30"/>
    <x v="3"/>
    <x v="3"/>
    <n v="523.48"/>
    <x v="0"/>
    <x v="1"/>
    <x v="13"/>
    <x v="0"/>
  </r>
  <r>
    <n v="10601"/>
    <x v="30"/>
    <x v="4"/>
    <x v="4"/>
    <n v="201.01"/>
    <x v="0"/>
    <x v="1"/>
    <x v="13"/>
    <x v="0"/>
  </r>
  <r>
    <n v="10602"/>
    <x v="30"/>
    <x v="0"/>
    <x v="0"/>
    <n v="630.37"/>
    <x v="0"/>
    <x v="2"/>
    <x v="13"/>
    <x v="0"/>
  </r>
  <r>
    <n v="10603"/>
    <x v="30"/>
    <x v="1"/>
    <x v="1"/>
    <n v="677.97"/>
    <x v="0"/>
    <x v="2"/>
    <x v="13"/>
    <x v="0"/>
  </r>
  <r>
    <n v="10604"/>
    <x v="30"/>
    <x v="2"/>
    <x v="2"/>
    <n v="200.4"/>
    <x v="0"/>
    <x v="2"/>
    <x v="13"/>
    <x v="0"/>
  </r>
  <r>
    <n v="10605"/>
    <x v="31"/>
    <x v="3"/>
    <x v="3"/>
    <n v="538.88"/>
    <x v="0"/>
    <x v="2"/>
    <x v="13"/>
    <x v="0"/>
  </r>
  <r>
    <n v="10606"/>
    <x v="31"/>
    <x v="4"/>
    <x v="4"/>
    <n v="201.01"/>
    <x v="0"/>
    <x v="2"/>
    <x v="13"/>
    <x v="0"/>
  </r>
  <r>
    <n v="10607"/>
    <x v="31"/>
    <x v="0"/>
    <x v="0"/>
    <n v="630.37"/>
    <x v="0"/>
    <x v="2"/>
    <x v="13"/>
    <x v="0"/>
  </r>
  <r>
    <n v="10608"/>
    <x v="31"/>
    <x v="1"/>
    <x v="1"/>
    <n v="677.97"/>
    <x v="0"/>
    <x v="0"/>
    <x v="13"/>
    <x v="0"/>
  </r>
  <r>
    <n v="10609"/>
    <x v="31"/>
    <x v="2"/>
    <x v="2"/>
    <n v="200.4"/>
    <x v="0"/>
    <x v="0"/>
    <x v="13"/>
    <x v="0"/>
  </r>
  <r>
    <n v="10610"/>
    <x v="32"/>
    <x v="3"/>
    <x v="3"/>
    <n v="569.66999999999996"/>
    <x v="0"/>
    <x v="0"/>
    <x v="13"/>
    <x v="0"/>
  </r>
  <r>
    <n v="10611"/>
    <x v="32"/>
    <x v="4"/>
    <x v="4"/>
    <n v="201.01"/>
    <x v="0"/>
    <x v="0"/>
    <x v="13"/>
    <x v="0"/>
  </r>
  <r>
    <n v="10612"/>
    <x v="32"/>
    <x v="0"/>
    <x v="0"/>
    <n v="630.37"/>
    <x v="0"/>
    <x v="0"/>
    <x v="13"/>
    <x v="0"/>
  </r>
  <r>
    <n v="10613"/>
    <x v="32"/>
    <x v="1"/>
    <x v="1"/>
    <n v="677.97"/>
    <x v="0"/>
    <x v="0"/>
    <x v="13"/>
    <x v="0"/>
  </r>
  <r>
    <n v="10614"/>
    <x v="32"/>
    <x v="2"/>
    <x v="2"/>
    <n v="200.4"/>
    <x v="0"/>
    <x v="0"/>
    <x v="13"/>
    <x v="0"/>
  </r>
  <r>
    <n v="10615"/>
    <x v="33"/>
    <x v="3"/>
    <x v="3"/>
    <n v="569.66999999999996"/>
    <x v="0"/>
    <x v="0"/>
    <x v="13"/>
    <x v="0"/>
  </r>
  <r>
    <n v="10616"/>
    <x v="33"/>
    <x v="4"/>
    <x v="4"/>
    <n v="201.01"/>
    <x v="0"/>
    <x v="0"/>
    <x v="13"/>
    <x v="0"/>
  </r>
  <r>
    <n v="10617"/>
    <x v="33"/>
    <x v="0"/>
    <x v="0"/>
    <n v="630.37"/>
    <x v="0"/>
    <x v="0"/>
    <x v="13"/>
    <x v="0"/>
  </r>
  <r>
    <n v="10618"/>
    <x v="33"/>
    <x v="1"/>
    <x v="1"/>
    <n v="677.97"/>
    <x v="0"/>
    <x v="0"/>
    <x v="13"/>
    <x v="0"/>
  </r>
  <r>
    <n v="10619"/>
    <x v="33"/>
    <x v="2"/>
    <x v="2"/>
    <n v="200.4"/>
    <x v="0"/>
    <x v="0"/>
    <x v="13"/>
    <x v="0"/>
  </r>
  <r>
    <n v="10620"/>
    <x v="34"/>
    <x v="3"/>
    <x v="3"/>
    <n v="585.07000000000005"/>
    <x v="0"/>
    <x v="0"/>
    <x v="13"/>
    <x v="0"/>
  </r>
  <r>
    <n v="10621"/>
    <x v="34"/>
    <x v="4"/>
    <x v="4"/>
    <n v="201.01"/>
    <x v="0"/>
    <x v="0"/>
    <x v="13"/>
    <x v="0"/>
  </r>
  <r>
    <n v="10622"/>
    <x v="34"/>
    <x v="0"/>
    <x v="0"/>
    <n v="630.37"/>
    <x v="0"/>
    <x v="0"/>
    <x v="13"/>
    <x v="0"/>
  </r>
  <r>
    <n v="10623"/>
    <x v="34"/>
    <x v="1"/>
    <x v="1"/>
    <n v="745.76"/>
    <x v="0"/>
    <x v="0"/>
    <x v="13"/>
    <x v="0"/>
  </r>
  <r>
    <n v="10624"/>
    <x v="34"/>
    <x v="2"/>
    <x v="2"/>
    <n v="200.4"/>
    <x v="0"/>
    <x v="0"/>
    <x v="13"/>
    <x v="0"/>
  </r>
  <r>
    <n v="10625"/>
    <x v="35"/>
    <x v="3"/>
    <x v="3"/>
    <n v="569.66999999999996"/>
    <x v="0"/>
    <x v="0"/>
    <x v="13"/>
    <x v="0"/>
  </r>
  <r>
    <n v="10626"/>
    <x v="35"/>
    <x v="4"/>
    <x v="4"/>
    <n v="201.01"/>
    <x v="0"/>
    <x v="0"/>
    <x v="13"/>
    <x v="0"/>
  </r>
  <r>
    <n v="10627"/>
    <x v="35"/>
    <x v="0"/>
    <x v="0"/>
    <n v="630.37"/>
    <x v="0"/>
    <x v="0"/>
    <x v="13"/>
    <x v="0"/>
  </r>
  <r>
    <n v="10628"/>
    <x v="35"/>
    <x v="1"/>
    <x v="1"/>
    <n v="677.97"/>
    <x v="0"/>
    <x v="0"/>
    <x v="12"/>
    <x v="2"/>
  </r>
  <r>
    <n v="10629"/>
    <x v="35"/>
    <x v="2"/>
    <x v="2"/>
    <n v="200.4"/>
    <x v="0"/>
    <x v="0"/>
    <x v="12"/>
    <x v="2"/>
  </r>
  <r>
    <n v="10630"/>
    <x v="36"/>
    <x v="3"/>
    <x v="3"/>
    <n v="569.66999999999996"/>
    <x v="0"/>
    <x v="2"/>
    <x v="12"/>
    <x v="2"/>
  </r>
  <r>
    <n v="10631"/>
    <x v="36"/>
    <x v="4"/>
    <x v="4"/>
    <n v="201.01"/>
    <x v="0"/>
    <x v="0"/>
    <x v="12"/>
    <x v="2"/>
  </r>
  <r>
    <n v="10632"/>
    <x v="36"/>
    <x v="0"/>
    <x v="0"/>
    <n v="630.37"/>
    <x v="0"/>
    <x v="0"/>
    <x v="12"/>
    <x v="2"/>
  </r>
  <r>
    <n v="10633"/>
    <x v="36"/>
    <x v="1"/>
    <x v="1"/>
    <n v="677.97"/>
    <x v="0"/>
    <x v="0"/>
    <x v="12"/>
    <x v="2"/>
  </r>
  <r>
    <n v="10634"/>
    <x v="36"/>
    <x v="2"/>
    <x v="2"/>
    <n v="200.4"/>
    <x v="0"/>
    <x v="0"/>
    <x v="12"/>
    <x v="2"/>
  </r>
  <r>
    <n v="10635"/>
    <x v="37"/>
    <x v="3"/>
    <x v="3"/>
    <n v="554.27"/>
    <x v="0"/>
    <x v="0"/>
    <x v="12"/>
    <x v="2"/>
  </r>
  <r>
    <n v="10636"/>
    <x v="37"/>
    <x v="4"/>
    <x v="4"/>
    <n v="221.11"/>
    <x v="0"/>
    <x v="0"/>
    <x v="12"/>
    <x v="2"/>
  </r>
  <r>
    <n v="10637"/>
    <x v="37"/>
    <x v="0"/>
    <x v="0"/>
    <n v="630.37"/>
    <x v="0"/>
    <x v="0"/>
    <x v="12"/>
    <x v="2"/>
  </r>
  <r>
    <n v="10638"/>
    <x v="37"/>
    <x v="1"/>
    <x v="1"/>
    <n v="677.97"/>
    <x v="0"/>
    <x v="0"/>
    <x v="12"/>
    <x v="2"/>
  </r>
  <r>
    <n v="10639"/>
    <x v="37"/>
    <x v="2"/>
    <x v="2"/>
    <n v="200.4"/>
    <x v="0"/>
    <x v="0"/>
    <x v="12"/>
    <x v="2"/>
  </r>
  <r>
    <n v="10640"/>
    <x v="38"/>
    <x v="3"/>
    <x v="3"/>
    <n v="538.88"/>
    <x v="0"/>
    <x v="0"/>
    <x v="12"/>
    <x v="2"/>
  </r>
  <r>
    <n v="10641"/>
    <x v="38"/>
    <x v="4"/>
    <x v="4"/>
    <n v="221.11"/>
    <x v="0"/>
    <x v="0"/>
    <x v="12"/>
    <x v="2"/>
  </r>
  <r>
    <n v="10642"/>
    <x v="38"/>
    <x v="0"/>
    <x v="0"/>
    <n v="630.37"/>
    <x v="0"/>
    <x v="2"/>
    <x v="12"/>
    <x v="2"/>
  </r>
  <r>
    <n v="10643"/>
    <x v="38"/>
    <x v="1"/>
    <x v="1"/>
    <n v="677.97"/>
    <x v="0"/>
    <x v="2"/>
    <x v="12"/>
    <x v="2"/>
  </r>
  <r>
    <n v="10644"/>
    <x v="38"/>
    <x v="2"/>
    <x v="2"/>
    <n v="200.4"/>
    <x v="0"/>
    <x v="2"/>
    <x v="12"/>
    <x v="2"/>
  </r>
  <r>
    <n v="10645"/>
    <x v="39"/>
    <x v="3"/>
    <x v="3"/>
    <n v="569.66999999999996"/>
    <x v="0"/>
    <x v="2"/>
    <x v="12"/>
    <x v="2"/>
  </r>
  <r>
    <n v="10646"/>
    <x v="39"/>
    <x v="4"/>
    <x v="4"/>
    <n v="221.11"/>
    <x v="0"/>
    <x v="2"/>
    <x v="12"/>
    <x v="2"/>
  </r>
  <r>
    <n v="10647"/>
    <x v="39"/>
    <x v="0"/>
    <x v="0"/>
    <n v="630.37"/>
    <x v="0"/>
    <x v="0"/>
    <x v="12"/>
    <x v="2"/>
  </r>
  <r>
    <n v="10648"/>
    <x v="39"/>
    <x v="1"/>
    <x v="1"/>
    <n v="745.76"/>
    <x v="0"/>
    <x v="0"/>
    <x v="12"/>
    <x v="2"/>
  </r>
  <r>
    <n v="10649"/>
    <x v="39"/>
    <x v="2"/>
    <x v="2"/>
    <n v="200.4"/>
    <x v="0"/>
    <x v="0"/>
    <x v="12"/>
    <x v="2"/>
  </r>
  <r>
    <n v="10650"/>
    <x v="40"/>
    <x v="3"/>
    <x v="3"/>
    <n v="585.07000000000005"/>
    <x v="0"/>
    <x v="0"/>
    <x v="12"/>
    <x v="2"/>
  </r>
  <r>
    <n v="10651"/>
    <x v="40"/>
    <x v="4"/>
    <x v="4"/>
    <n v="221.11"/>
    <x v="0"/>
    <x v="0"/>
    <x v="12"/>
    <x v="2"/>
  </r>
  <r>
    <n v="10652"/>
    <x v="40"/>
    <x v="0"/>
    <x v="0"/>
    <n v="687.68"/>
    <x v="0"/>
    <x v="0"/>
    <x v="12"/>
    <x v="2"/>
  </r>
  <r>
    <n v="10653"/>
    <x v="40"/>
    <x v="1"/>
    <x v="1"/>
    <n v="745.76"/>
    <x v="0"/>
    <x v="0"/>
    <x v="12"/>
    <x v="2"/>
  </r>
  <r>
    <n v="10654"/>
    <x v="40"/>
    <x v="2"/>
    <x v="2"/>
    <n v="200.4"/>
    <x v="0"/>
    <x v="0"/>
    <x v="12"/>
    <x v="2"/>
  </r>
  <r>
    <n v="10655"/>
    <x v="41"/>
    <x v="3"/>
    <x v="3"/>
    <n v="600.46"/>
    <x v="0"/>
    <x v="0"/>
    <x v="12"/>
    <x v="2"/>
  </r>
  <r>
    <n v="10656"/>
    <x v="41"/>
    <x v="4"/>
    <x v="4"/>
    <n v="221.11"/>
    <x v="0"/>
    <x v="0"/>
    <x v="12"/>
    <x v="2"/>
  </r>
  <r>
    <n v="10657"/>
    <x v="41"/>
    <x v="0"/>
    <x v="0"/>
    <n v="687.68"/>
    <x v="0"/>
    <x v="0"/>
    <x v="12"/>
    <x v="2"/>
  </r>
  <r>
    <n v="10658"/>
    <x v="41"/>
    <x v="1"/>
    <x v="1"/>
    <n v="745.76"/>
    <x v="0"/>
    <x v="2"/>
    <x v="12"/>
    <x v="2"/>
  </r>
  <r>
    <n v="10659"/>
    <x v="41"/>
    <x v="2"/>
    <x v="2"/>
    <n v="200.4"/>
    <x v="0"/>
    <x v="2"/>
    <x v="12"/>
    <x v="2"/>
  </r>
  <r>
    <n v="10660"/>
    <x v="42"/>
    <x v="3"/>
    <x v="3"/>
    <n v="631.25"/>
    <x v="1"/>
    <x v="2"/>
    <x v="12"/>
    <x v="2"/>
  </r>
  <r>
    <n v="10661"/>
    <x v="42"/>
    <x v="4"/>
    <x v="4"/>
    <n v="221.11"/>
    <x v="1"/>
    <x v="2"/>
    <x v="12"/>
    <x v="2"/>
  </r>
  <r>
    <n v="10662"/>
    <x v="42"/>
    <x v="0"/>
    <x v="0"/>
    <n v="630.37"/>
    <x v="1"/>
    <x v="2"/>
    <x v="12"/>
    <x v="2"/>
  </r>
  <r>
    <n v="10663"/>
    <x v="42"/>
    <x v="1"/>
    <x v="1"/>
    <n v="745.76"/>
    <x v="1"/>
    <x v="2"/>
    <x v="12"/>
    <x v="2"/>
  </r>
  <r>
    <n v="10664"/>
    <x v="42"/>
    <x v="2"/>
    <x v="2"/>
    <n v="200.4"/>
    <x v="1"/>
    <x v="2"/>
    <x v="12"/>
    <x v="2"/>
  </r>
  <r>
    <n v="10665"/>
    <x v="43"/>
    <x v="3"/>
    <x v="3"/>
    <n v="646.65"/>
    <x v="1"/>
    <x v="2"/>
    <x v="12"/>
    <x v="2"/>
  </r>
  <r>
    <n v="10666"/>
    <x v="43"/>
    <x v="4"/>
    <x v="4"/>
    <n v="221.11"/>
    <x v="1"/>
    <x v="2"/>
    <x v="12"/>
    <x v="2"/>
  </r>
  <r>
    <n v="10667"/>
    <x v="43"/>
    <x v="0"/>
    <x v="0"/>
    <n v="630.37"/>
    <x v="1"/>
    <x v="2"/>
    <x v="12"/>
    <x v="2"/>
  </r>
  <r>
    <n v="10668"/>
    <x v="43"/>
    <x v="1"/>
    <x v="1"/>
    <n v="745.76"/>
    <x v="1"/>
    <x v="2"/>
    <x v="12"/>
    <x v="2"/>
  </r>
  <r>
    <n v="10669"/>
    <x v="43"/>
    <x v="2"/>
    <x v="2"/>
    <n v="200.4"/>
    <x v="1"/>
    <x v="2"/>
    <x v="12"/>
    <x v="2"/>
  </r>
  <r>
    <n v="10670"/>
    <x v="44"/>
    <x v="3"/>
    <x v="3"/>
    <n v="677.44"/>
    <x v="1"/>
    <x v="2"/>
    <x v="12"/>
    <x v="2"/>
  </r>
  <r>
    <n v="10671"/>
    <x v="44"/>
    <x v="4"/>
    <x v="4"/>
    <n v="221.11"/>
    <x v="1"/>
    <x v="2"/>
    <x v="12"/>
    <x v="2"/>
  </r>
  <r>
    <n v="10672"/>
    <x v="44"/>
    <x v="0"/>
    <x v="0"/>
    <n v="630.37"/>
    <x v="1"/>
    <x v="2"/>
    <x v="12"/>
    <x v="2"/>
  </r>
  <r>
    <n v="10673"/>
    <x v="44"/>
    <x v="1"/>
    <x v="1"/>
    <n v="745.76"/>
    <x v="1"/>
    <x v="2"/>
    <x v="12"/>
    <x v="2"/>
  </r>
  <r>
    <n v="10674"/>
    <x v="44"/>
    <x v="2"/>
    <x v="2"/>
    <n v="200.4"/>
    <x v="1"/>
    <x v="2"/>
    <x v="12"/>
    <x v="2"/>
  </r>
  <r>
    <n v="10675"/>
    <x v="45"/>
    <x v="3"/>
    <x v="3"/>
    <n v="677.44"/>
    <x v="1"/>
    <x v="2"/>
    <x v="12"/>
    <x v="2"/>
  </r>
  <r>
    <n v="10676"/>
    <x v="45"/>
    <x v="4"/>
    <x v="4"/>
    <n v="241.21"/>
    <x v="1"/>
    <x v="2"/>
    <x v="12"/>
    <x v="2"/>
  </r>
  <r>
    <n v="10677"/>
    <x v="45"/>
    <x v="0"/>
    <x v="0"/>
    <n v="630.37"/>
    <x v="1"/>
    <x v="2"/>
    <x v="12"/>
    <x v="2"/>
  </r>
  <r>
    <n v="10678"/>
    <x v="45"/>
    <x v="1"/>
    <x v="1"/>
    <n v="745.76"/>
    <x v="1"/>
    <x v="2"/>
    <x v="12"/>
    <x v="2"/>
  </r>
  <r>
    <n v="10679"/>
    <x v="45"/>
    <x v="2"/>
    <x v="2"/>
    <n v="200.4"/>
    <x v="1"/>
    <x v="2"/>
    <x v="12"/>
    <x v="2"/>
  </r>
  <r>
    <n v="10680"/>
    <x v="46"/>
    <x v="3"/>
    <x v="3"/>
    <n v="646.65"/>
    <x v="1"/>
    <x v="2"/>
    <x v="12"/>
    <x v="2"/>
  </r>
  <r>
    <n v="10681"/>
    <x v="46"/>
    <x v="4"/>
    <x v="4"/>
    <n v="241.21"/>
    <x v="1"/>
    <x v="2"/>
    <x v="12"/>
    <x v="2"/>
  </r>
  <r>
    <n v="10682"/>
    <x v="46"/>
    <x v="0"/>
    <x v="0"/>
    <n v="630.37"/>
    <x v="1"/>
    <x v="2"/>
    <x v="12"/>
    <x v="2"/>
  </r>
  <r>
    <n v="10683"/>
    <x v="46"/>
    <x v="1"/>
    <x v="1"/>
    <n v="677.97"/>
    <x v="1"/>
    <x v="2"/>
    <x v="12"/>
    <x v="2"/>
  </r>
  <r>
    <n v="10684"/>
    <x v="46"/>
    <x v="2"/>
    <x v="2"/>
    <n v="200.4"/>
    <x v="1"/>
    <x v="2"/>
    <x v="12"/>
    <x v="2"/>
  </r>
  <r>
    <n v="10685"/>
    <x v="47"/>
    <x v="3"/>
    <x v="3"/>
    <n v="677.44"/>
    <x v="1"/>
    <x v="2"/>
    <x v="12"/>
    <x v="2"/>
  </r>
  <r>
    <n v="10686"/>
    <x v="47"/>
    <x v="4"/>
    <x v="4"/>
    <n v="241.21"/>
    <x v="1"/>
    <x v="2"/>
    <x v="12"/>
    <x v="2"/>
  </r>
  <r>
    <n v="10687"/>
    <x v="47"/>
    <x v="0"/>
    <x v="0"/>
    <n v="630.37"/>
    <x v="1"/>
    <x v="2"/>
    <x v="3"/>
    <x v="3"/>
  </r>
  <r>
    <n v="10688"/>
    <x v="47"/>
    <x v="1"/>
    <x v="1"/>
    <n v="677.97"/>
    <x v="1"/>
    <x v="2"/>
    <x v="3"/>
    <x v="3"/>
  </r>
  <r>
    <n v="10689"/>
    <x v="47"/>
    <x v="2"/>
    <x v="2"/>
    <n v="200.4"/>
    <x v="1"/>
    <x v="2"/>
    <x v="3"/>
    <x v="3"/>
  </r>
  <r>
    <n v="10690"/>
    <x v="48"/>
    <x v="3"/>
    <x v="3"/>
    <n v="677.44"/>
    <x v="1"/>
    <x v="2"/>
    <x v="3"/>
    <x v="3"/>
  </r>
  <r>
    <n v="10691"/>
    <x v="48"/>
    <x v="4"/>
    <x v="4"/>
    <n v="261.31"/>
    <x v="1"/>
    <x v="2"/>
    <x v="3"/>
    <x v="3"/>
  </r>
  <r>
    <n v="10692"/>
    <x v="48"/>
    <x v="0"/>
    <x v="0"/>
    <n v="630.37"/>
    <x v="1"/>
    <x v="2"/>
    <x v="3"/>
    <x v="3"/>
  </r>
  <r>
    <n v="10693"/>
    <x v="48"/>
    <x v="1"/>
    <x v="1"/>
    <n v="677.97"/>
    <x v="1"/>
    <x v="2"/>
    <x v="3"/>
    <x v="3"/>
  </r>
  <r>
    <n v="10694"/>
    <x v="48"/>
    <x v="2"/>
    <x v="2"/>
    <n v="200.4"/>
    <x v="1"/>
    <x v="2"/>
    <x v="3"/>
    <x v="3"/>
  </r>
  <r>
    <n v="10695"/>
    <x v="49"/>
    <x v="3"/>
    <x v="3"/>
    <n v="692.84"/>
    <x v="1"/>
    <x v="2"/>
    <x v="3"/>
    <x v="3"/>
  </r>
  <r>
    <n v="10696"/>
    <x v="49"/>
    <x v="4"/>
    <x v="4"/>
    <n v="281.41000000000003"/>
    <x v="1"/>
    <x v="2"/>
    <x v="3"/>
    <x v="3"/>
  </r>
  <r>
    <n v="10697"/>
    <x v="49"/>
    <x v="0"/>
    <x v="0"/>
    <n v="630.37"/>
    <x v="1"/>
    <x v="2"/>
    <x v="3"/>
    <x v="3"/>
  </r>
  <r>
    <n v="10698"/>
    <x v="49"/>
    <x v="1"/>
    <x v="1"/>
    <n v="677.97"/>
    <x v="1"/>
    <x v="2"/>
    <x v="3"/>
    <x v="3"/>
  </r>
  <r>
    <n v="10699"/>
    <x v="49"/>
    <x v="2"/>
    <x v="2"/>
    <n v="200.4"/>
    <x v="1"/>
    <x v="2"/>
    <x v="3"/>
    <x v="3"/>
  </r>
  <r>
    <n v="10700"/>
    <x v="50"/>
    <x v="3"/>
    <x v="3"/>
    <n v="692.84"/>
    <x v="1"/>
    <x v="2"/>
    <x v="3"/>
    <x v="3"/>
  </r>
  <r>
    <n v="10701"/>
    <x v="50"/>
    <x v="4"/>
    <x v="4"/>
    <n v="281.41000000000003"/>
    <x v="1"/>
    <x v="2"/>
    <x v="3"/>
    <x v="3"/>
  </r>
  <r>
    <n v="10702"/>
    <x v="50"/>
    <x v="0"/>
    <x v="0"/>
    <n v="630.37"/>
    <x v="1"/>
    <x v="2"/>
    <x v="3"/>
    <x v="3"/>
  </r>
  <r>
    <n v="10703"/>
    <x v="50"/>
    <x v="1"/>
    <x v="1"/>
    <n v="677.97"/>
    <x v="1"/>
    <x v="0"/>
    <x v="3"/>
    <x v="3"/>
  </r>
  <r>
    <n v="10704"/>
    <x v="50"/>
    <x v="2"/>
    <x v="2"/>
    <n v="200.4"/>
    <x v="2"/>
    <x v="0"/>
    <x v="3"/>
    <x v="3"/>
  </r>
  <r>
    <n v="10705"/>
    <x v="51"/>
    <x v="3"/>
    <x v="3"/>
    <n v="723.63"/>
    <x v="2"/>
    <x v="0"/>
    <x v="3"/>
    <x v="3"/>
  </r>
  <r>
    <n v="10706"/>
    <x v="51"/>
    <x v="4"/>
    <x v="4"/>
    <n v="301.51"/>
    <x v="2"/>
    <x v="0"/>
    <x v="3"/>
    <x v="3"/>
  </r>
  <r>
    <n v="10707"/>
    <x v="51"/>
    <x v="0"/>
    <x v="0"/>
    <n v="630.37"/>
    <x v="2"/>
    <x v="0"/>
    <x v="3"/>
    <x v="3"/>
  </r>
  <r>
    <n v="10708"/>
    <x v="51"/>
    <x v="1"/>
    <x v="1"/>
    <n v="677.97"/>
    <x v="2"/>
    <x v="0"/>
    <x v="3"/>
    <x v="3"/>
  </r>
  <r>
    <n v="10709"/>
    <x v="51"/>
    <x v="2"/>
    <x v="2"/>
    <n v="200.4"/>
    <x v="2"/>
    <x v="0"/>
    <x v="3"/>
    <x v="3"/>
  </r>
  <r>
    <n v="10710"/>
    <x v="52"/>
    <x v="3"/>
    <x v="3"/>
    <n v="754.43"/>
    <x v="2"/>
    <x v="0"/>
    <x v="3"/>
    <x v="3"/>
  </r>
  <r>
    <n v="10711"/>
    <x v="52"/>
    <x v="4"/>
    <x v="4"/>
    <n v="281.41000000000003"/>
    <x v="2"/>
    <x v="0"/>
    <x v="3"/>
    <x v="3"/>
  </r>
  <r>
    <n v="10712"/>
    <x v="52"/>
    <x v="0"/>
    <x v="0"/>
    <n v="630.37"/>
    <x v="2"/>
    <x v="0"/>
    <x v="3"/>
    <x v="3"/>
  </r>
  <r>
    <n v="10713"/>
    <x v="52"/>
    <x v="1"/>
    <x v="1"/>
    <n v="677.97"/>
    <x v="2"/>
    <x v="0"/>
    <x v="3"/>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
  <r>
    <n v="10452"/>
    <x v="0"/>
    <s v="Fries"/>
    <n v="3.49"/>
    <n v="573.07000000000005"/>
    <s v="Online "/>
    <s v=" Gift Card"/>
    <s v="Tom      Jackson"/>
    <x v="0"/>
    <n v="2000.0143000000003"/>
  </r>
  <r>
    <n v="10453"/>
    <x v="0"/>
    <s v="Beverages"/>
    <n v="2.95"/>
    <n v="745.76"/>
    <s v="Online "/>
    <s v=" Gift Card"/>
    <s v="       Pablo Perez"/>
    <x v="1"/>
    <n v="2199.9920000000002"/>
  </r>
  <r>
    <n v="10454"/>
    <x v="0"/>
    <s v="Sides &amp; Other"/>
    <n v="4.99"/>
    <n v="200.4"/>
    <s v="In-store "/>
    <s v=" Gift Card"/>
    <s v="Joao    Silva"/>
    <x v="2"/>
    <n v="999.99600000000009"/>
  </r>
  <r>
    <n v="10455"/>
    <x v="1"/>
    <s v="Burgers"/>
    <n v="12.99"/>
    <n v="569.66999999999996"/>
    <s v="In-store "/>
    <s v=" Credit Card"/>
    <s v="Walter Muller"/>
    <x v="3"/>
    <n v="7400.0132999999996"/>
  </r>
  <r>
    <n v="10456"/>
    <x v="1"/>
    <s v="Chicken Sandwiches"/>
    <n v="9.9499999999999993"/>
    <n v="201.01"/>
    <s v="In-store "/>
    <s v=" Credit Card"/>
    <s v="Walter Muller"/>
    <x v="3"/>
    <n v="2000.0494999999999"/>
  </r>
  <r>
    <n v="10457"/>
    <x v="1"/>
    <s v="Fries"/>
    <n v="3.49"/>
    <n v="573.07000000000005"/>
    <s v="In-store "/>
    <s v=" Credit Card"/>
    <s v="Remy    Monet"/>
    <x v="4"/>
    <n v="2000.0143000000003"/>
  </r>
  <r>
    <n v="10459"/>
    <x v="1"/>
    <s v="Sides &amp; Other"/>
    <n v="4.99"/>
    <n v="200.4"/>
    <s v="In-store "/>
    <s v=" Credit Card"/>
    <s v="Walter Muller"/>
    <x v="3"/>
    <n v="999.99600000000009"/>
  </r>
  <r>
    <n v="10460"/>
    <x v="2"/>
    <s v="Burgers"/>
    <n v="12.99"/>
    <n v="554.27"/>
    <s v="In-store "/>
    <s v=" Credit Card"/>
    <s v="Remy Monet"/>
    <x v="4"/>
    <n v="7199.9673000000003"/>
  </r>
  <r>
    <n v="10461"/>
    <x v="2"/>
    <s v="Chicken Sandwiches"/>
    <n v="9.9499999999999993"/>
    <n v="201.01"/>
    <s v="In-store "/>
    <s v=" Credit Card"/>
    <s v="Remy Monet"/>
    <x v="4"/>
    <n v="2000.0494999999999"/>
  </r>
  <r>
    <n v="10462"/>
    <x v="2"/>
    <s v="Fries"/>
    <n v="3.49"/>
    <n v="573.07000000000005"/>
    <s v="In-store "/>
    <s v=" Credit Card"/>
    <s v="       Remy Monet"/>
    <x v="4"/>
    <n v="2000.0143000000003"/>
  </r>
  <r>
    <n v="10463"/>
    <x v="2"/>
    <s v="Beverages"/>
    <n v="2.95"/>
    <n v="677.97"/>
    <s v="In-store "/>
    <s v=" Credit Card"/>
    <s v="       Remy Monet"/>
    <x v="4"/>
    <n v="2000.0115000000003"/>
  </r>
  <r>
    <n v="10464"/>
    <x v="2"/>
    <s v="Sides &amp; Other"/>
    <n v="4.99"/>
    <n v="200.4"/>
    <s v="In-store "/>
    <s v=" Credit Card"/>
    <s v="Remy     Monet"/>
    <x v="4"/>
    <n v="999.99600000000009"/>
  </r>
  <r>
    <n v="10465"/>
    <x v="3"/>
    <s v="Burgers"/>
    <n v="12.99"/>
    <n v="554.27"/>
    <s v="In-store "/>
    <s v=" Credit Card"/>
    <s v="Pablo Perez"/>
    <x v="1"/>
    <n v="7199.9673000000003"/>
  </r>
  <r>
    <n v="10466"/>
    <x v="3"/>
    <s v="Chicken Sandwiches"/>
    <n v="9.9499999999999993"/>
    <n v="201.01"/>
    <s v="In-store "/>
    <s v=" Credit Card"/>
    <s v="Pablo Perez"/>
    <x v="1"/>
    <n v="2000.0494999999999"/>
  </r>
  <r>
    <n v="10467"/>
    <x v="3"/>
    <s v="Fries"/>
    <n v="3.49"/>
    <n v="573.07000000000005"/>
    <s v="In-store "/>
    <s v=" Credit Card"/>
    <s v="Pablo Perez"/>
    <x v="1"/>
    <n v="2000.0143000000003"/>
  </r>
  <r>
    <n v="10468"/>
    <x v="3"/>
    <s v="Beverages"/>
    <n v="2.95"/>
    <n v="677.97"/>
    <s v="In-store "/>
    <s v=" Credit Card"/>
    <s v="       Pablo Perez"/>
    <x v="1"/>
    <n v="2000.0115000000003"/>
  </r>
  <r>
    <n v="10470"/>
    <x v="4"/>
    <s v="Burgers"/>
    <n v="12.99"/>
    <n v="554.27"/>
    <s v="In-store "/>
    <s v=" Credit Card"/>
    <s v="       Pablo Perez"/>
    <x v="1"/>
    <n v="7199.9673000000003"/>
  </r>
  <r>
    <n v="10471"/>
    <x v="4"/>
    <s v="Chicken Sandwiches"/>
    <n v="9.9499999999999993"/>
    <n v="201.01"/>
    <s v="In-store "/>
    <s v=" Credit Card"/>
    <s v="       Pablo Perez"/>
    <x v="1"/>
    <n v="2000.0494999999999"/>
  </r>
  <r>
    <n v="10472"/>
    <x v="4"/>
    <s v="Fries"/>
    <n v="3.49"/>
    <n v="630.37"/>
    <s v="In-store "/>
    <s v=" Credit Card"/>
    <s v="Pablo   Perez"/>
    <x v="1"/>
    <n v="2199.9913000000001"/>
  </r>
  <r>
    <n v="10473"/>
    <x v="4"/>
    <s v="Beverages"/>
    <n v="2.95"/>
    <n v="677.97"/>
    <s v="In-store "/>
    <s v=" Credit Card"/>
    <s v="       Pablo Perez"/>
    <x v="1"/>
    <n v="2000.0115000000003"/>
  </r>
  <r>
    <n v="10474"/>
    <x v="4"/>
    <s v="Sides &amp; Other"/>
    <n v="4.99"/>
    <n v="200.4"/>
    <s v="In-store "/>
    <s v=" Credit Card"/>
    <s v="       Pablo Perez"/>
    <x v="1"/>
    <n v="999.99600000000009"/>
  </r>
  <r>
    <n v="10475"/>
    <x v="5"/>
    <s v="Burgers"/>
    <n v="12.99"/>
    <n v="523.48"/>
    <s v="In-store "/>
    <s v=" Credit Card"/>
    <s v="       Pablo Perez"/>
    <x v="1"/>
    <n v="6800.0052000000005"/>
  </r>
  <r>
    <n v="10476"/>
    <x v="5"/>
    <s v="Chicken Sandwiches"/>
    <n v="9.9499999999999993"/>
    <n v="201.01"/>
    <s v="In-store "/>
    <s v=" Credit Card"/>
    <s v="Pablo Perez"/>
    <x v="1"/>
    <n v="2000.0494999999999"/>
  </r>
  <r>
    <n v="10477"/>
    <x v="5"/>
    <s v="Fries"/>
    <n v="3.49"/>
    <n v="630.37"/>
    <s v="In-store "/>
    <s v=" Credit Card"/>
    <s v="Pablo  Perez"/>
    <x v="1"/>
    <n v="2199.9913000000001"/>
  </r>
  <r>
    <n v="10478"/>
    <x v="5"/>
    <s v="Beverages"/>
    <n v="2.95"/>
    <n v="677.97"/>
    <s v="In-store "/>
    <s v=" Credit Card"/>
    <s v="Pablo Perez"/>
    <x v="1"/>
    <n v="2000.0115000000003"/>
  </r>
  <r>
    <n v="10479"/>
    <x v="5"/>
    <s v="Sides &amp; Other"/>
    <n v="4.99"/>
    <n v="200.4"/>
    <s v="In-store "/>
    <s v=" Credit Card"/>
    <s v="Pablo    Perez"/>
    <x v="1"/>
    <n v="999.99600000000009"/>
  </r>
  <r>
    <n v="10480"/>
    <x v="6"/>
    <s v="Burgers"/>
    <n v="12.99"/>
    <n v="508.08"/>
    <s v="In-store "/>
    <s v=" Credit Card"/>
    <s v="Pablo Perez"/>
    <x v="1"/>
    <n v="6599.9592000000002"/>
  </r>
  <r>
    <n v="10481"/>
    <x v="6"/>
    <s v="Chicken Sandwiches"/>
    <n v="9.9499999999999993"/>
    <n v="201.01"/>
    <s v="In-store "/>
    <s v=" Credit Card"/>
    <s v="Pablo Perez"/>
    <x v="1"/>
    <n v="2000.0494999999999"/>
  </r>
  <r>
    <n v="10482"/>
    <x v="6"/>
    <s v="Fries"/>
    <n v="25.5"/>
    <n v="630.37"/>
    <s v="In-store "/>
    <s v=" Credit Card"/>
    <s v="Joao Silva"/>
    <x v="2"/>
    <n v="16074.434999999999"/>
  </r>
  <r>
    <n v="10486"/>
    <x v="7"/>
    <s v="Chicken Sandwiches"/>
    <n v="29.05"/>
    <n v="201.01"/>
    <s v="In-store "/>
    <s v=" Credit Card"/>
    <s v="Joao    Silva"/>
    <x v="2"/>
    <n v="5839.3405000000002"/>
  </r>
  <r>
    <n v="10487"/>
    <x v="7"/>
    <s v="Fries"/>
    <n v="3.49"/>
    <n v="630.37"/>
    <s v="In-store "/>
    <s v=" Credit Card"/>
    <s v="Joao Silva"/>
    <x v="2"/>
    <n v="2199.9913000000001"/>
  </r>
  <r>
    <n v="10488"/>
    <x v="7"/>
    <s v="Beverages"/>
    <n v="2.95"/>
    <n v="677.97"/>
    <s v="In-store "/>
    <s v=" Credit Card"/>
    <s v="Joao Silva"/>
    <x v="2"/>
    <n v="2000.0115000000003"/>
  </r>
  <r>
    <n v="10489"/>
    <x v="7"/>
    <s v="Sides &amp; Other"/>
    <n v="4.99"/>
    <n v="200.4"/>
    <s v="In-store "/>
    <s v=" Credit Card"/>
    <s v="Pablo Perez"/>
    <x v="1"/>
    <n v="999.99600000000009"/>
  </r>
  <r>
    <n v="10490"/>
    <x v="8"/>
    <s v="Burgers"/>
    <n v="12.99"/>
    <n v="508.08"/>
    <s v="In-store "/>
    <s v=" Credit Card"/>
    <s v="Pablo Perez"/>
    <x v="1"/>
    <n v="6599.9592000000002"/>
  </r>
  <r>
    <n v="10491"/>
    <x v="8"/>
    <s v="Chicken Sandwiches"/>
    <n v="9.9499999999999993"/>
    <n v="201.01"/>
    <s v="In-store "/>
    <s v=" Credit Card"/>
    <s v="Pablo Perez"/>
    <x v="1"/>
    <n v="2000.0494999999999"/>
  </r>
  <r>
    <n v="10492"/>
    <x v="8"/>
    <s v="Fries"/>
    <n v="3.49"/>
    <n v="573.07000000000005"/>
    <s v="In-store "/>
    <s v=" Credit Card"/>
    <s v="Pablo Perez"/>
    <x v="1"/>
    <n v="2000.0143000000003"/>
  </r>
  <r>
    <n v="10493"/>
    <x v="8"/>
    <s v="Beverages"/>
    <n v="2.95"/>
    <n v="677.97"/>
    <s v="In-store "/>
    <s v=" Credit Card"/>
    <s v="Pablo Perez"/>
    <x v="1"/>
    <n v="2000.0115000000003"/>
  </r>
  <r>
    <n v="10494"/>
    <x v="8"/>
    <s v="Sides &amp; Other"/>
    <n v="4.99"/>
    <n v="200.4"/>
    <s v="In-store "/>
    <s v=" Credit Card"/>
    <s v="Pablo Perez"/>
    <x v="1"/>
    <n v="999.99600000000009"/>
  </r>
  <r>
    <n v="10495"/>
    <x v="9"/>
    <s v="Burgers"/>
    <n v="12.99"/>
    <n v="508.08"/>
    <s v="In-store "/>
    <s v=" Credit Card"/>
    <s v="Pablo Perez"/>
    <x v="1"/>
    <n v="6599.9592000000002"/>
  </r>
  <r>
    <n v="10496"/>
    <x v="9"/>
    <s v="Chicken Sandwiches"/>
    <n v="9.9499999999999993"/>
    <n v="201.01"/>
    <s v="In-store "/>
    <s v=" Credit Card"/>
    <s v="Pablo Perez"/>
    <x v="1"/>
    <n v="2000.0494999999999"/>
  </r>
  <r>
    <n v="10497"/>
    <x v="9"/>
    <s v="Fries"/>
    <n v="3.49"/>
    <n v="573.07000000000005"/>
    <s v="In-store "/>
    <s v=" Credit Card"/>
    <s v="Pablo Perez"/>
    <x v="1"/>
    <n v="2000.0143000000003"/>
  </r>
  <r>
    <n v="10498"/>
    <x v="9"/>
    <s v="Beverages"/>
    <n v="2.95"/>
    <n v="677.97"/>
    <s v="Drive-thru "/>
    <s v=" Credit Card"/>
    <s v="Pablo Perez"/>
    <x v="1"/>
    <n v="2000.0115000000003"/>
  </r>
  <r>
    <n v="10499"/>
    <x v="9"/>
    <s v="Sides &amp; Other"/>
    <n v="4.99"/>
    <n v="200.4"/>
    <s v="Drive-thru "/>
    <s v=" Credit Card"/>
    <s v="Pablo Perez"/>
    <x v="1"/>
    <n v="999.99600000000009"/>
  </r>
  <r>
    <n v="10500"/>
    <x v="10"/>
    <s v="Burgers"/>
    <n v="12.99"/>
    <n v="523.48"/>
    <s v="Drive-thru "/>
    <s v=" Credit Card"/>
    <s v="Pablo Perez"/>
    <x v="1"/>
    <n v="6800.0052000000005"/>
  </r>
  <r>
    <n v="10501"/>
    <x v="10"/>
    <s v="Chicken Sandwiches"/>
    <n v="9.9499999999999993"/>
    <n v="201.01"/>
    <s v="Drive-thru "/>
    <s v=" Credit Card"/>
    <s v="Pablo Perez"/>
    <x v="1"/>
    <n v="2000.0494999999999"/>
  </r>
  <r>
    <n v="10502"/>
    <x v="10"/>
    <s v="Fries"/>
    <n v="3.49"/>
    <n v="630.37"/>
    <s v="Drive-thru "/>
    <s v=" Credit Card"/>
    <s v="Pablo Perez"/>
    <x v="1"/>
    <n v="2199.9913000000001"/>
  </r>
  <r>
    <n v="10503"/>
    <x v="10"/>
    <s v="Beverages"/>
    <n v="2.95"/>
    <n v="677.97"/>
    <s v="Drive-thru "/>
    <s v=" Credit Card"/>
    <s v="Pablo Perez"/>
    <x v="1"/>
    <n v="2000.0115000000003"/>
  </r>
  <r>
    <n v="10504"/>
    <x v="10"/>
    <s v="Sides &amp; Other"/>
    <n v="4.99"/>
    <n v="200.4"/>
    <s v="Drive-thru "/>
    <s v=" Credit Card"/>
    <s v="Pablo Perez"/>
    <x v="1"/>
    <n v="999.99600000000009"/>
  </r>
  <r>
    <n v="10505"/>
    <x v="11"/>
    <s v="Burgers"/>
    <n v="12.99"/>
    <n v="538.88"/>
    <s v="Drive-thru "/>
    <s v=" Credit Card"/>
    <s v="Pablo Perez"/>
    <x v="1"/>
    <n v="7000.0511999999999"/>
  </r>
  <r>
    <n v="10506"/>
    <x v="11"/>
    <s v="Chicken Sandwiches"/>
    <n v="9.9499999999999993"/>
    <n v="201.01"/>
    <s v="Drive-thru "/>
    <s v=" Credit Card"/>
    <s v="Pablo Perez"/>
    <x v="1"/>
    <n v="2000.0494999999999"/>
  </r>
  <r>
    <n v="10507"/>
    <x v="11"/>
    <s v="Fries"/>
    <n v="3.49"/>
    <n v="687.68"/>
    <s v="Drive-thru "/>
    <s v=" Credit Card"/>
    <s v="Pablo Perez"/>
    <x v="1"/>
    <n v="2400.0032000000001"/>
  </r>
  <r>
    <n v="10508"/>
    <x v="11"/>
    <s v="Beverages"/>
    <n v="2.95"/>
    <n v="677.97"/>
    <s v="Drive-thru "/>
    <s v=" Credit Card"/>
    <s v="Pablo Perez"/>
    <x v="1"/>
    <n v="2000.0115000000003"/>
  </r>
  <r>
    <n v="10509"/>
    <x v="11"/>
    <s v="Sides &amp; Other"/>
    <n v="4.99"/>
    <n v="200.4"/>
    <s v="Drive-thru "/>
    <s v=" Credit Card"/>
    <s v="Pablo Perez"/>
    <x v="1"/>
    <n v="999.99600000000009"/>
  </r>
  <r>
    <n v="10510"/>
    <x v="12"/>
    <s v="Burgers"/>
    <n v="12.99"/>
    <n v="508.08"/>
    <s v="Drive-thru "/>
    <s v=" Credit Card"/>
    <s v="Pablo Perez"/>
    <x v="1"/>
    <n v="6599.9592000000002"/>
  </r>
  <r>
    <n v="10511"/>
    <x v="12"/>
    <s v="Chicken Sandwiches"/>
    <n v="9.9499999999999993"/>
    <n v="201.01"/>
    <s v="Drive-thru "/>
    <s v=" Credit Card"/>
    <s v="Joao Silva"/>
    <x v="2"/>
    <n v="2000.0494999999999"/>
  </r>
  <r>
    <n v="10512"/>
    <x v="12"/>
    <s v="Fries"/>
    <n v="3.49"/>
    <n v="687.68"/>
    <s v="Drive-thru "/>
    <s v=" Credit Card"/>
    <s v="Joao Silva"/>
    <x v="2"/>
    <n v="2400.0032000000001"/>
  </r>
  <r>
    <n v="10513"/>
    <x v="12"/>
    <s v="Beverages"/>
    <n v="2.95"/>
    <n v="677.97"/>
    <s v="Drive-thru "/>
    <s v=" Cash"/>
    <s v="Joao Silva"/>
    <x v="2"/>
    <n v="2000.0115000000003"/>
  </r>
  <r>
    <n v="10514"/>
    <x v="12"/>
    <s v="Sides &amp; Other"/>
    <n v="4.99"/>
    <n v="200.4"/>
    <s v="Drive-thru "/>
    <s v=" Cash"/>
    <s v="Joao Silva"/>
    <x v="2"/>
    <n v="999.99600000000009"/>
  </r>
  <r>
    <n v="10515"/>
    <x v="13"/>
    <s v="Burgers"/>
    <n v="12.99"/>
    <n v="477.29"/>
    <s v="Drive-thru "/>
    <s v=" Cash"/>
    <s v="Joao Silva"/>
    <x v="2"/>
    <n v="6199.9971000000005"/>
  </r>
  <r>
    <n v="10516"/>
    <x v="13"/>
    <s v="Chicken Sandwiches"/>
    <n v="9.9499999999999993"/>
    <n v="201.01"/>
    <s v="Drive-thru "/>
    <s v=" Cash"/>
    <s v="Joao Silva"/>
    <x v="2"/>
    <n v="2000.0494999999999"/>
  </r>
  <r>
    <n v="10483"/>
    <x v="6"/>
    <s v="Beverages"/>
    <n v="2.95"/>
    <n v="677.97"/>
    <s v="In-store "/>
    <s v=" Credit Card"/>
    <s v="Joao    Silva"/>
    <x v="2"/>
    <n v="2000.0115000000003"/>
  </r>
  <r>
    <n v="10484"/>
    <x v="6"/>
    <s v="Sides &amp; Other"/>
    <n v="4.99"/>
    <n v="200.4"/>
    <s v="In-store "/>
    <s v=" Credit Card"/>
    <s v="Joao    Silva"/>
    <x v="2"/>
    <n v="999.99600000000009"/>
  </r>
  <r>
    <n v="10485"/>
    <x v="7"/>
    <s v="Burgers"/>
    <n v="12.99"/>
    <n v="523.48"/>
    <s v="In-store "/>
    <s v=" Credit Card"/>
    <s v="Joao    Silva"/>
    <x v="2"/>
    <n v="6800.0052000000005"/>
  </r>
  <r>
    <n v="10520"/>
    <x v="14"/>
    <s v="Burgers"/>
    <n v="12.99"/>
    <n v="492.69"/>
    <s v="Drive-thru "/>
    <s v=" Cash"/>
    <s v="Remy Monet"/>
    <x v="4"/>
    <n v="6400.0430999999999"/>
  </r>
  <r>
    <n v="10521"/>
    <x v="14"/>
    <s v="Chicken Sandwiches"/>
    <n v="9.9499999999999993"/>
    <n v="201.01"/>
    <s v="Drive-thru "/>
    <s v=" Cash"/>
    <s v="Remy Monet"/>
    <x v="4"/>
    <n v="2000.0494999999999"/>
  </r>
  <r>
    <n v="10522"/>
    <x v="14"/>
    <s v="Fries"/>
    <n v="3.49"/>
    <n v="687.68"/>
    <s v="Drive-thru "/>
    <s v=" Cash"/>
    <s v="Remy Monet"/>
    <x v="4"/>
    <n v="2400.0032000000001"/>
  </r>
  <r>
    <n v="10523"/>
    <x v="14"/>
    <s v="Beverages"/>
    <n v="2.95"/>
    <n v="745.76"/>
    <s v="Drive-thru "/>
    <s v=" Cash"/>
    <s v="Remy Monet"/>
    <x v="4"/>
    <n v="2199.9920000000002"/>
  </r>
  <r>
    <n v="10524"/>
    <x v="14"/>
    <s v="Sides &amp; Other"/>
    <n v="4.99"/>
    <n v="200.4"/>
    <s v="Drive-thru "/>
    <s v=" Cash"/>
    <s v="Remy Monet"/>
    <x v="4"/>
    <n v="999.99600000000009"/>
  </r>
  <r>
    <n v="10525"/>
    <x v="15"/>
    <s v="Burgers"/>
    <n v="12.99"/>
    <n v="461.89"/>
    <s v="Drive-thru "/>
    <s v=" Cash"/>
    <s v="Remy Monet"/>
    <x v="4"/>
    <n v="5999.9511000000002"/>
  </r>
  <r>
    <n v="10526"/>
    <x v="15"/>
    <s v="Chicken Sandwiches"/>
    <n v="9.9499999999999993"/>
    <n v="201.01"/>
    <s v="Drive-thru "/>
    <s v=" Cash"/>
    <s v="Remy Monet"/>
    <x v="4"/>
    <n v="2000.0494999999999"/>
  </r>
  <r>
    <n v="10527"/>
    <x v="15"/>
    <s v="Fries"/>
    <n v="3.49"/>
    <n v="687.68"/>
    <s v="Drive-thru "/>
    <s v=" Cash"/>
    <s v="Remy Monet"/>
    <x v="4"/>
    <n v="2400.0032000000001"/>
  </r>
  <r>
    <n v="10528"/>
    <x v="15"/>
    <s v="Beverages"/>
    <n v="2.95"/>
    <n v="745.76"/>
    <s v="Drive-thru "/>
    <s v=" Cash"/>
    <s v="Remy Monet"/>
    <x v="4"/>
    <n v="2199.9920000000002"/>
  </r>
  <r>
    <n v="10529"/>
    <x v="15"/>
    <s v="Sides &amp; Other"/>
    <n v="4.99"/>
    <n v="200.4"/>
    <s v="Drive-thru "/>
    <s v=" Cash"/>
    <s v="Remy Monet"/>
    <x v="4"/>
    <n v="999.99600000000009"/>
  </r>
  <r>
    <n v="10530"/>
    <x v="16"/>
    <s v="Burgers"/>
    <n v="12.99"/>
    <n v="477.29"/>
    <s v="Drive-thru "/>
    <s v=" Cash"/>
    <s v="Remy Monet"/>
    <x v="4"/>
    <n v="6199.9971000000005"/>
  </r>
  <r>
    <n v="10531"/>
    <x v="16"/>
    <s v="Chicken Sandwiches"/>
    <n v="9.9499999999999993"/>
    <n v="201.01"/>
    <s v="Drive-thru "/>
    <s v=" Cash"/>
    <s v="Remy Monet"/>
    <x v="4"/>
    <n v="2000.0494999999999"/>
  </r>
  <r>
    <n v="10532"/>
    <x v="16"/>
    <s v="Fries"/>
    <n v="3.49"/>
    <n v="687.68"/>
    <s v="Drive-thru "/>
    <s v=" Cash"/>
    <s v="Joao Silva"/>
    <x v="2"/>
    <n v="2400.0032000000001"/>
  </r>
  <r>
    <n v="10533"/>
    <x v="16"/>
    <s v="Beverages"/>
    <n v="2.95"/>
    <n v="745.76"/>
    <s v="Drive-thru "/>
    <s v=" Cash"/>
    <s v="Joao Silva"/>
    <x v="2"/>
    <n v="2199.9920000000002"/>
  </r>
  <r>
    <n v="10534"/>
    <x v="16"/>
    <s v="Sides &amp; Other"/>
    <n v="4.99"/>
    <n v="200.4"/>
    <s v="Drive-thru "/>
    <s v=" Cash"/>
    <s v="Pablo Perez"/>
    <x v="1"/>
    <n v="999.99600000000009"/>
  </r>
  <r>
    <n v="10535"/>
    <x v="17"/>
    <s v="Burgers"/>
    <n v="12.99"/>
    <n v="477.29"/>
    <s v="Drive-thru "/>
    <s v=" Credit Card"/>
    <s v="Pablo Perez"/>
    <x v="1"/>
    <n v="6199.9971000000005"/>
  </r>
  <r>
    <n v="10536"/>
    <x v="17"/>
    <s v="Chicken Sandwiches"/>
    <n v="9.9499999999999993"/>
    <n v="201.01"/>
    <s v="Drive-thru "/>
    <s v=" Credit Card"/>
    <s v="Pablo Perez"/>
    <x v="1"/>
    <n v="2000.0494999999999"/>
  </r>
  <r>
    <n v="10540"/>
    <x v="18"/>
    <s v="Burgers"/>
    <n v="12.99"/>
    <n v="461.89"/>
    <s v="Drive-thru "/>
    <s v=" Credit Card"/>
    <s v="Pablo Perez"/>
    <x v="1"/>
    <n v="5999.9511000000002"/>
  </r>
  <r>
    <n v="10541"/>
    <x v="18"/>
    <s v="Chicken Sandwiches"/>
    <n v="9.9499999999999993"/>
    <n v="201.01"/>
    <s v="Drive-thru "/>
    <s v=" Credit Card"/>
    <s v="Tom Jackson"/>
    <x v="0"/>
    <n v="2000.0494999999999"/>
  </r>
  <r>
    <n v="10542"/>
    <x v="18"/>
    <s v="Fries"/>
    <n v="3.49"/>
    <n v="630.37"/>
    <s v="Drive-thru "/>
    <s v=" Credit Card"/>
    <s v="Tom Jackson"/>
    <x v="0"/>
    <n v="2199.9913000000001"/>
  </r>
  <r>
    <n v="10543"/>
    <x v="18"/>
    <s v="Beverages"/>
    <n v="2.95"/>
    <n v="745.76"/>
    <s v="Drive-thru "/>
    <s v=" Credit Card"/>
    <s v="Tom Jackson"/>
    <x v="0"/>
    <n v="2199.9920000000002"/>
  </r>
  <r>
    <n v="10544"/>
    <x v="18"/>
    <s v="Sides &amp; Other"/>
    <n v="4.99"/>
    <n v="200.4"/>
    <s v="Drive-thru "/>
    <s v=" Credit Card"/>
    <s v="Tom Jackson"/>
    <x v="0"/>
    <n v="999.99600000000009"/>
  </r>
  <r>
    <n v="10545"/>
    <x v="19"/>
    <s v="Burgers"/>
    <n v="12.99"/>
    <n v="446.5"/>
    <s v="Drive-thru "/>
    <s v=" Credit Card"/>
    <s v="Tom Jackson"/>
    <x v="0"/>
    <n v="5800.0349999999999"/>
  </r>
  <r>
    <n v="10546"/>
    <x v="19"/>
    <s v="Chicken Sandwiches"/>
    <n v="9.9499999999999993"/>
    <n v="201.01"/>
    <s v="Drive-thru "/>
    <s v=" Credit Card"/>
    <s v="Tom Jackson"/>
    <x v="0"/>
    <n v="2000.0494999999999"/>
  </r>
  <r>
    <n v="10547"/>
    <x v="19"/>
    <s v="Fries"/>
    <n v="3.49"/>
    <n v="630.37"/>
    <s v="Drive-thru "/>
    <s v=" Credit Card"/>
    <s v="Tom Jackson"/>
    <x v="0"/>
    <n v="2199.9913000000001"/>
  </r>
  <r>
    <n v="10548"/>
    <x v="19"/>
    <s v="Beverages"/>
    <n v="2.95"/>
    <n v="745.76"/>
    <s v="Drive-thru "/>
    <s v=" Credit Card"/>
    <s v="Tom Jackson"/>
    <x v="0"/>
    <n v="2199.9920000000002"/>
  </r>
  <r>
    <n v="10549"/>
    <x v="19"/>
    <s v="Sides &amp; Other"/>
    <n v="4.99"/>
    <n v="200.4"/>
    <s v="Drive-thru "/>
    <s v=" Credit Card"/>
    <s v="Tom Jackson"/>
    <x v="0"/>
    <n v="999.99600000000009"/>
  </r>
  <r>
    <n v="10550"/>
    <x v="20"/>
    <s v="Burgers"/>
    <n v="12.99"/>
    <n v="461.89"/>
    <s v="Drive-thru "/>
    <s v=" Credit Card"/>
    <s v="Tom Jackson"/>
    <x v="0"/>
    <n v="5999.9511000000002"/>
  </r>
  <r>
    <n v="10551"/>
    <x v="20"/>
    <s v="Chicken Sandwiches"/>
    <n v="9.9499999999999993"/>
    <n v="201.01"/>
    <s v="Drive-thru "/>
    <s v=" Credit Card"/>
    <s v="Tom Jackson"/>
    <x v="0"/>
    <n v="2000.0494999999999"/>
  </r>
  <r>
    <n v="10552"/>
    <x v="20"/>
    <s v="Fries"/>
    <n v="3.49"/>
    <n v="630.37"/>
    <s v="Online "/>
    <s v=" Credit Card"/>
    <s v="Tom Jackson"/>
    <x v="0"/>
    <n v="2199.9913000000001"/>
  </r>
  <r>
    <n v="10553"/>
    <x v="20"/>
    <s v="Beverages"/>
    <n v="2.95"/>
    <n v="745.76"/>
    <s v="Online "/>
    <s v=" Credit Card"/>
    <s v="Tom Jackson"/>
    <x v="0"/>
    <n v="2199.9920000000002"/>
  </r>
  <r>
    <n v="10554"/>
    <x v="20"/>
    <s v="Sides &amp; Other"/>
    <n v="4.99"/>
    <n v="200.4"/>
    <s v="Online "/>
    <s v=" Credit Card"/>
    <s v="Tom Jackson"/>
    <x v="0"/>
    <n v="999.99600000000009"/>
  </r>
  <r>
    <n v="10555"/>
    <x v="21"/>
    <s v="Burgers"/>
    <n v="12.99"/>
    <n v="477.29"/>
    <s v="Online "/>
    <s v=" Credit Card"/>
    <s v="Tom Jackson"/>
    <x v="0"/>
    <n v="6199.9971000000005"/>
  </r>
  <r>
    <n v="10556"/>
    <x v="21"/>
    <s v="Chicken Sandwiches"/>
    <n v="9.9499999999999993"/>
    <n v="201.01"/>
    <s v="Online "/>
    <s v=" Credit Card"/>
    <s v="Tom Jackson"/>
    <x v="0"/>
    <n v="2000.0494999999999"/>
  </r>
  <r>
    <n v="10557"/>
    <x v="21"/>
    <s v="Fries"/>
    <n v="3.49"/>
    <n v="630.37"/>
    <s v="Online "/>
    <s v=" Credit Card"/>
    <s v="Tom Jackson"/>
    <x v="0"/>
    <n v="2199.9913000000001"/>
  </r>
  <r>
    <n v="10558"/>
    <x v="21"/>
    <s v="Beverages"/>
    <n v="2.95"/>
    <n v="677.97"/>
    <s v="Online "/>
    <s v=" Credit Card"/>
    <s v="Tom Jackson"/>
    <x v="0"/>
    <n v="2000.0115000000003"/>
  </r>
  <r>
    <n v="10559"/>
    <x v="21"/>
    <s v="Sides &amp; Other"/>
    <n v="4.99"/>
    <n v="200.4"/>
    <s v="Online "/>
    <s v=" Credit Card"/>
    <s v="Tom Jackson"/>
    <x v="0"/>
    <n v="999.99600000000009"/>
  </r>
  <r>
    <n v="10560"/>
    <x v="22"/>
    <s v="Burgers"/>
    <n v="12.99"/>
    <n v="477.29"/>
    <s v="Online "/>
    <s v=" Credit Card"/>
    <s v="Tom Jackson"/>
    <x v="0"/>
    <n v="6199.9971000000005"/>
  </r>
  <r>
    <n v="10561"/>
    <x v="22"/>
    <s v="Chicken Sandwiches"/>
    <n v="9.9499999999999993"/>
    <n v="201.01"/>
    <s v="Online "/>
    <s v=" Credit Card"/>
    <s v="Tom Jackson"/>
    <x v="0"/>
    <n v="2000.0494999999999"/>
  </r>
  <r>
    <n v="10562"/>
    <x v="22"/>
    <s v="Fries"/>
    <n v="3.49"/>
    <n v="630.37"/>
    <s v="Online "/>
    <s v=" Credit Card"/>
    <s v="Tom Jackson"/>
    <x v="0"/>
    <n v="2199.9913000000001"/>
  </r>
  <r>
    <n v="10563"/>
    <x v="22"/>
    <s v="Beverages"/>
    <n v="2.95"/>
    <n v="677.97"/>
    <s v="Online "/>
    <s v=" Credit Card"/>
    <s v="Tom Jackson"/>
    <x v="0"/>
    <n v="2000.0115000000003"/>
  </r>
  <r>
    <n v="10564"/>
    <x v="22"/>
    <s v="Sides &amp; Other"/>
    <n v="4.99"/>
    <n v="200.4"/>
    <s v="Online "/>
    <s v=" Credit Card"/>
    <s v="Tom Jackson"/>
    <x v="0"/>
    <n v="999.99600000000009"/>
  </r>
  <r>
    <n v="10565"/>
    <x v="23"/>
    <s v="Burgers"/>
    <n v="12.99"/>
    <n v="492.69"/>
    <s v="Online "/>
    <s v=" Credit Card"/>
    <s v="Tom Jackson"/>
    <x v="0"/>
    <n v="6400.0430999999999"/>
  </r>
  <r>
    <n v="10566"/>
    <x v="23"/>
    <s v="Chicken Sandwiches"/>
    <n v="9.9499999999999993"/>
    <n v="201.01"/>
    <s v="Online "/>
    <s v=" Credit Card"/>
    <s v="Tom Jackson"/>
    <x v="0"/>
    <n v="2000.0494999999999"/>
  </r>
  <r>
    <n v="10567"/>
    <x v="23"/>
    <s v="Fries"/>
    <n v="3.49"/>
    <n v="630.37"/>
    <s v="Online "/>
    <s v=" Credit Card"/>
    <s v="Tom Jackson"/>
    <x v="0"/>
    <n v="2199.9913000000001"/>
  </r>
  <r>
    <n v="10568"/>
    <x v="23"/>
    <s v="Beverages"/>
    <n v="2.95"/>
    <n v="677.97"/>
    <s v="Online "/>
    <s v=" Credit Card"/>
    <s v="Tom Jackson"/>
    <x v="0"/>
    <n v="2000.0115000000003"/>
  </r>
  <r>
    <n v="10569"/>
    <x v="23"/>
    <s v="Sides &amp; Other"/>
    <n v="4.99"/>
    <n v="200.4"/>
    <s v="Online "/>
    <s v=" Credit Card"/>
    <s v="Tom Jackson"/>
    <x v="0"/>
    <n v="999.99600000000009"/>
  </r>
  <r>
    <n v="10570"/>
    <x v="24"/>
    <s v="Burgers"/>
    <n v="12.99"/>
    <n v="492.69"/>
    <s v="Online "/>
    <s v=" Credit Card"/>
    <s v="Tom Jackson"/>
    <x v="0"/>
    <n v="6400.0430999999999"/>
  </r>
  <r>
    <n v="10571"/>
    <x v="24"/>
    <s v="Chicken Sandwiches"/>
    <n v="9.9499999999999993"/>
    <n v="201.01"/>
    <s v="Online "/>
    <s v=" Credit Card"/>
    <s v="Tom Jackson"/>
    <x v="0"/>
    <n v="2000.0494999999999"/>
  </r>
  <r>
    <n v="10572"/>
    <x v="24"/>
    <s v="Fries"/>
    <n v="3.49"/>
    <n v="573.07000000000005"/>
    <s v="Online "/>
    <s v=" Credit Card"/>
    <s v="Remy Monet"/>
    <x v="4"/>
    <n v="2000.0143000000003"/>
  </r>
  <r>
    <n v="10573"/>
    <x v="24"/>
    <s v="Beverages"/>
    <n v="2.95"/>
    <n v="677.97"/>
    <s v="Online "/>
    <s v=" Credit Card"/>
    <s v="Remy Monet"/>
    <x v="4"/>
    <n v="2000.0115000000003"/>
  </r>
  <r>
    <n v="10574"/>
    <x v="24"/>
    <s v="Sides &amp; Other"/>
    <n v="4.99"/>
    <n v="200.4"/>
    <s v="Online "/>
    <s v=" Credit Card"/>
    <s v="Remy Monet"/>
    <x v="4"/>
    <n v="999.99600000000009"/>
  </r>
  <r>
    <n v="10575"/>
    <x v="25"/>
    <s v="Burgers"/>
    <n v="12.99"/>
    <n v="523.48"/>
    <s v="Online "/>
    <s v=" Credit Card"/>
    <s v="Remy Monet"/>
    <x v="4"/>
    <n v="6800.0052000000005"/>
  </r>
  <r>
    <n v="10576"/>
    <x v="25"/>
    <s v="Chicken Sandwiches"/>
    <n v="9.9499999999999993"/>
    <n v="201.01"/>
    <s v="Online "/>
    <s v=" Credit Card"/>
    <s v="Remy Monet"/>
    <x v="4"/>
    <n v="2000.0494999999999"/>
  </r>
  <r>
    <n v="10577"/>
    <x v="25"/>
    <s v="Fries"/>
    <n v="3.49"/>
    <n v="630.37"/>
    <s v="Online "/>
    <s v=" Credit Card"/>
    <s v="Remy Monet"/>
    <x v="4"/>
    <n v="2199.9913000000001"/>
  </r>
  <r>
    <n v="10578"/>
    <x v="25"/>
    <s v="Beverages"/>
    <n v="2.95"/>
    <n v="677.97"/>
    <s v="Online "/>
    <s v=" Credit Card"/>
    <s v="Remy Monet"/>
    <x v="4"/>
    <n v="2000.0115000000003"/>
  </r>
  <r>
    <n v="10579"/>
    <x v="25"/>
    <s v="Sides &amp; Other"/>
    <n v="4.99"/>
    <n v="200.4"/>
    <s v="Online "/>
    <s v=" Credit Card"/>
    <s v="Remy Monet"/>
    <x v="4"/>
    <n v="999.99600000000009"/>
  </r>
  <r>
    <n v="10580"/>
    <x v="26"/>
    <s v="Burgers"/>
    <n v="12.99"/>
    <n v="523.48"/>
    <s v="Online "/>
    <s v=" Credit Card"/>
    <s v="Remy Monet"/>
    <x v="4"/>
    <n v="6800.0052000000005"/>
  </r>
  <r>
    <n v="10581"/>
    <x v="26"/>
    <s v="Chicken Sandwiches"/>
    <n v="9.9499999999999993"/>
    <n v="201.01"/>
    <s v="Online "/>
    <s v=" Credit Card"/>
    <s v="Remy Monet"/>
    <x v="4"/>
    <n v="2000.0494999999999"/>
  </r>
  <r>
    <n v="10582"/>
    <x v="26"/>
    <s v="Fries"/>
    <n v="3.49"/>
    <n v="630.37"/>
    <s v="Online "/>
    <s v=" Credit Card"/>
    <s v="Tom Jackson"/>
    <x v="0"/>
    <n v="2199.9913000000001"/>
  </r>
  <r>
    <n v="10583"/>
    <x v="26"/>
    <s v="Beverages"/>
    <n v="2.95"/>
    <n v="677.97"/>
    <s v="Online "/>
    <s v=" Credit Card"/>
    <s v="Tom Jackson"/>
    <x v="0"/>
    <n v="2000.0115000000003"/>
  </r>
  <r>
    <n v="10584"/>
    <x v="26"/>
    <s v="Sides &amp; Other"/>
    <n v="4.99"/>
    <n v="200.4"/>
    <s v="Online "/>
    <s v=" Credit Card"/>
    <s v="Tom Jackson"/>
    <x v="0"/>
    <n v="999.99600000000009"/>
  </r>
  <r>
    <n v="10585"/>
    <x v="27"/>
    <s v="Burgers"/>
    <n v="12.99"/>
    <n v="538.88"/>
    <s v="Online "/>
    <s v=" Credit Card"/>
    <s v="Tom Jackson"/>
    <x v="0"/>
    <n v="7000.0511999999999"/>
  </r>
  <r>
    <n v="10586"/>
    <x v="27"/>
    <s v="Chicken Sandwiches"/>
    <n v="9.9499999999999993"/>
    <n v="201.01"/>
    <s v="Online "/>
    <s v=" Credit Card"/>
    <s v="Tom Jackson"/>
    <x v="0"/>
    <n v="2000.0494999999999"/>
  </r>
  <r>
    <n v="10537"/>
    <x v="17"/>
    <s v="Fries"/>
    <n v="3.49"/>
    <n v="630.37"/>
    <s v="Drive-thru "/>
    <s v=" Credit Card"/>
    <s v="Pablo Perez"/>
    <x v="1"/>
    <n v="2199.9913000000001"/>
  </r>
  <r>
    <n v="10538"/>
    <x v="17"/>
    <s v="Beverages"/>
    <n v="2.95"/>
    <n v="745.76"/>
    <s v="Drive-thru "/>
    <s v=" Credit Card"/>
    <s v="Pablo Perez"/>
    <x v="1"/>
    <n v="2199.9920000000002"/>
  </r>
  <r>
    <n v="10539"/>
    <x v="17"/>
    <s v="Sides &amp; Other"/>
    <n v="4.99"/>
    <n v="200.4"/>
    <s v="Drive-thru "/>
    <s v=" Credit Card"/>
    <s v="Pablo Perez"/>
    <x v="1"/>
    <n v="999.99600000000009"/>
  </r>
  <r>
    <n v="10590"/>
    <x v="28"/>
    <s v="Burgers"/>
    <n v="12.99"/>
    <n v="554.27"/>
    <s v="Online "/>
    <s v=" Credit Card"/>
    <s v="Tom Jackson"/>
    <x v="0"/>
    <n v="7199.9673000000003"/>
  </r>
  <r>
    <n v="10591"/>
    <x v="28"/>
    <s v="Chicken Sandwiches"/>
    <n v="9.9499999999999993"/>
    <n v="201.01"/>
    <s v="Online "/>
    <s v=" Credit Card"/>
    <s v="Tom Jackson"/>
    <x v="0"/>
    <n v="2000.0494999999999"/>
  </r>
  <r>
    <n v="10592"/>
    <x v="28"/>
    <s v="Fries"/>
    <n v="3.49"/>
    <n v="573.07000000000005"/>
    <s v="Online "/>
    <s v=" Credit Card"/>
    <s v="Tom Jackson"/>
    <x v="0"/>
    <n v="2000.0143000000003"/>
  </r>
  <r>
    <n v="10593"/>
    <x v="28"/>
    <s v="Beverages"/>
    <n v="2.95"/>
    <n v="677.97"/>
    <s v="Online "/>
    <s v=" Credit Card"/>
    <s v="Tom Jackson"/>
    <x v="0"/>
    <n v="2000.0115000000003"/>
  </r>
  <r>
    <n v="10594"/>
    <x v="28"/>
    <s v="Sides &amp; Other"/>
    <n v="4.99"/>
    <n v="200.4"/>
    <s v="Online "/>
    <s v=" Credit Card"/>
    <s v="Tom Jackson"/>
    <x v="0"/>
    <n v="999.99600000000009"/>
  </r>
  <r>
    <n v="10595"/>
    <x v="29"/>
    <s v="Burgers"/>
    <n v="12.99"/>
    <n v="538.88"/>
    <s v="Online "/>
    <s v=" Credit Card"/>
    <s v="Tom Jackson"/>
    <x v="0"/>
    <n v="7000.0511999999999"/>
  </r>
  <r>
    <n v="10596"/>
    <x v="29"/>
    <s v="Chicken Sandwiches"/>
    <n v="9.9499999999999993"/>
    <n v="201.01"/>
    <s v="Online "/>
    <s v=" Credit Card"/>
    <s v="Tom Jackson"/>
    <x v="0"/>
    <n v="2000.0494999999999"/>
  </r>
  <r>
    <n v="10597"/>
    <x v="29"/>
    <s v="Fries"/>
    <n v="3.49"/>
    <n v="573.07000000000005"/>
    <s v="Online "/>
    <s v=" Credit Card"/>
    <s v="Tom Jackson"/>
    <x v="0"/>
    <n v="2000.0143000000003"/>
  </r>
  <r>
    <n v="10598"/>
    <x v="29"/>
    <s v="Beverages"/>
    <n v="2.95"/>
    <n v="677.97"/>
    <s v="Online "/>
    <s v=" Credit Card"/>
    <s v="Tom Jackson"/>
    <x v="0"/>
    <n v="2000.0115000000003"/>
  </r>
  <r>
    <n v="10599"/>
    <x v="29"/>
    <s v="Sides &amp; Other"/>
    <n v="4.99"/>
    <n v="200.4"/>
    <s v="Online "/>
    <s v=" Credit Card"/>
    <s v="Tom Jackson"/>
    <x v="0"/>
    <n v="999.99600000000009"/>
  </r>
  <r>
    <n v="10600"/>
    <x v="30"/>
    <s v="Burgers"/>
    <n v="12.99"/>
    <n v="523.48"/>
    <s v="Online "/>
    <s v=" Credit Card"/>
    <s v="Tom Jackson"/>
    <x v="0"/>
    <n v="6800.0052000000005"/>
  </r>
  <r>
    <n v="10601"/>
    <x v="30"/>
    <s v="Chicken Sandwiches"/>
    <n v="9.9499999999999993"/>
    <n v="201.01"/>
    <s v="Online "/>
    <s v=" Credit Card"/>
    <s v="Tom Jackson"/>
    <x v="0"/>
    <n v="2000.0494999999999"/>
  </r>
  <r>
    <n v="10602"/>
    <x v="30"/>
    <s v="Fries"/>
    <n v="3.49"/>
    <n v="630.37"/>
    <s v="Online "/>
    <s v=" Cash"/>
    <s v="Tom Jackson"/>
    <x v="0"/>
    <n v="2199.9913000000001"/>
  </r>
  <r>
    <n v="10603"/>
    <x v="30"/>
    <s v="Beverages"/>
    <n v="2.95"/>
    <n v="677.97"/>
    <s v="Online "/>
    <s v=" Cash"/>
    <s v="Tom Jackson"/>
    <x v="0"/>
    <n v="2000.0115000000003"/>
  </r>
  <r>
    <n v="10604"/>
    <x v="30"/>
    <s v="Sides &amp; Other"/>
    <n v="4.99"/>
    <n v="200.4"/>
    <s v="Online "/>
    <s v=" Cash"/>
    <s v="Tom Jackson"/>
    <x v="0"/>
    <n v="999.99600000000009"/>
  </r>
  <r>
    <n v="10605"/>
    <x v="31"/>
    <s v="Burgers"/>
    <n v="12.99"/>
    <n v="538.88"/>
    <s v="Online "/>
    <s v=" Cash"/>
    <s v="Tom Jackson"/>
    <x v="0"/>
    <n v="7000.0511999999999"/>
  </r>
  <r>
    <n v="10606"/>
    <x v="31"/>
    <s v="Chicken Sandwiches"/>
    <n v="9.9499999999999993"/>
    <n v="201.01"/>
    <s v="Online "/>
    <s v=" Cash"/>
    <s v="Tom Jackson"/>
    <x v="0"/>
    <n v="2000.0494999999999"/>
  </r>
  <r>
    <n v="10607"/>
    <x v="31"/>
    <s v="Fries"/>
    <n v="3.49"/>
    <n v="630.37"/>
    <s v="Online "/>
    <s v=" Cash"/>
    <s v="Tom Jackson"/>
    <x v="0"/>
    <n v="2199.9913000000001"/>
  </r>
  <r>
    <n v="10608"/>
    <x v="31"/>
    <s v="Beverages"/>
    <n v="2.95"/>
    <n v="677.97"/>
    <s v="Online "/>
    <s v=" Gift Card"/>
    <s v="Tom Jackson"/>
    <x v="0"/>
    <n v="2000.0115000000003"/>
  </r>
  <r>
    <n v="10609"/>
    <x v="31"/>
    <s v="Sides &amp; Other"/>
    <n v="4.99"/>
    <n v="200.4"/>
    <s v="Online "/>
    <s v=" Gift Card"/>
    <s v="Tom Jackson"/>
    <x v="0"/>
    <n v="999.99600000000009"/>
  </r>
  <r>
    <n v="10610"/>
    <x v="32"/>
    <s v="Burgers"/>
    <n v="12.99"/>
    <n v="569.66999999999996"/>
    <s v="Online "/>
    <s v=" Gift Card"/>
    <s v="Tom Jackson"/>
    <x v="0"/>
    <n v="7400.0132999999996"/>
  </r>
  <r>
    <n v="10611"/>
    <x v="32"/>
    <s v="Chicken Sandwiches"/>
    <n v="9.9499999999999993"/>
    <n v="201.01"/>
    <s v="Online "/>
    <s v=" Gift Card"/>
    <s v="Tom Jackson"/>
    <x v="0"/>
    <n v="2000.0494999999999"/>
  </r>
  <r>
    <n v="10612"/>
    <x v="32"/>
    <s v="Fries"/>
    <n v="3.49"/>
    <n v="630.37"/>
    <s v="Online "/>
    <s v=" Gift Card"/>
    <s v="Tom Jackson"/>
    <x v="0"/>
    <n v="2199.9913000000001"/>
  </r>
  <r>
    <n v="10613"/>
    <x v="32"/>
    <s v="Beverages"/>
    <n v="2.95"/>
    <n v="677.97"/>
    <s v="Online "/>
    <s v=" Gift Card"/>
    <s v="Tom Jackson"/>
    <x v="0"/>
    <n v="2000.0115000000003"/>
  </r>
  <r>
    <n v="10614"/>
    <x v="32"/>
    <s v="Sides &amp; Other"/>
    <n v="4.99"/>
    <n v="200.4"/>
    <s v="Online "/>
    <s v=" Gift Card"/>
    <s v="Tom Jackson"/>
    <x v="0"/>
    <n v="999.99600000000009"/>
  </r>
  <r>
    <n v="10615"/>
    <x v="33"/>
    <s v="Burgers"/>
    <n v="12.99"/>
    <n v="569.66999999999996"/>
    <s v="Online "/>
    <s v=" Gift Card"/>
    <s v="Tom Jackson"/>
    <x v="0"/>
    <n v="7400.0132999999996"/>
  </r>
  <r>
    <n v="10616"/>
    <x v="33"/>
    <s v="Chicken Sandwiches"/>
    <n v="9.9499999999999993"/>
    <n v="201.01"/>
    <s v="Online "/>
    <s v=" Gift Card"/>
    <s v="Tom Jackson"/>
    <x v="0"/>
    <n v="2000.0494999999999"/>
  </r>
  <r>
    <n v="10617"/>
    <x v="33"/>
    <s v="Fries"/>
    <n v="3.49"/>
    <n v="630.37"/>
    <s v="Online "/>
    <s v=" Gift Card"/>
    <s v="Tom Jackson"/>
    <x v="0"/>
    <n v="2199.9913000000001"/>
  </r>
  <r>
    <n v="10618"/>
    <x v="33"/>
    <s v="Beverages"/>
    <n v="2.95"/>
    <n v="677.97"/>
    <s v="Online "/>
    <s v=" Gift Card"/>
    <s v="Tom Jackson"/>
    <x v="0"/>
    <n v="2000.0115000000003"/>
  </r>
  <r>
    <n v="10619"/>
    <x v="33"/>
    <s v="Sides &amp; Other"/>
    <n v="4.99"/>
    <n v="200.4"/>
    <s v="Online "/>
    <s v=" Gift Card"/>
    <s v="Tom Jackson"/>
    <x v="0"/>
    <n v="999.99600000000009"/>
  </r>
  <r>
    <n v="10620"/>
    <x v="34"/>
    <s v="Burgers"/>
    <n v="12.99"/>
    <n v="585.07000000000005"/>
    <s v="Online "/>
    <s v=" Gift Card"/>
    <s v="Tom Jackson"/>
    <x v="0"/>
    <n v="7600.0593000000008"/>
  </r>
  <r>
    <n v="10621"/>
    <x v="34"/>
    <s v="Chicken Sandwiches"/>
    <n v="9.9499999999999993"/>
    <n v="201.01"/>
    <s v="Online "/>
    <s v=" Gift Card"/>
    <s v="Tom Jackson"/>
    <x v="0"/>
    <n v="2000.0494999999999"/>
  </r>
  <r>
    <n v="10622"/>
    <x v="34"/>
    <s v="Fries"/>
    <n v="3.49"/>
    <n v="630.37"/>
    <s v="Online "/>
    <s v=" Gift Card"/>
    <s v="Tom Jackson"/>
    <x v="0"/>
    <n v="2199.9913000000001"/>
  </r>
  <r>
    <n v="10623"/>
    <x v="34"/>
    <s v="Beverages"/>
    <n v="2.95"/>
    <n v="745.76"/>
    <s v="Online "/>
    <s v=" Gift Card"/>
    <s v="Tom Jackson"/>
    <x v="0"/>
    <n v="2199.9920000000002"/>
  </r>
  <r>
    <n v="10624"/>
    <x v="34"/>
    <s v="Sides &amp; Other"/>
    <n v="4.99"/>
    <n v="200.4"/>
    <s v="Online "/>
    <s v=" Gift Card"/>
    <s v="Tom Jackson"/>
    <x v="0"/>
    <n v="999.99600000000009"/>
  </r>
  <r>
    <n v="10625"/>
    <x v="35"/>
    <s v="Burgers"/>
    <n v="12.99"/>
    <n v="569.66999999999996"/>
    <s v="Online "/>
    <s v=" Gift Card"/>
    <s v="Tom Jackson"/>
    <x v="0"/>
    <n v="7400.0132999999996"/>
  </r>
  <r>
    <n v="10626"/>
    <x v="35"/>
    <s v="Chicken Sandwiches"/>
    <n v="9.9499999999999993"/>
    <n v="201.01"/>
    <s v="Online "/>
    <s v=" Gift Card"/>
    <s v="Tom Jackson"/>
    <x v="0"/>
    <n v="2000.0494999999999"/>
  </r>
  <r>
    <n v="10627"/>
    <x v="35"/>
    <s v="Fries"/>
    <n v="3.49"/>
    <n v="630.37"/>
    <s v="Online "/>
    <s v=" Gift Card"/>
    <s v="Tom Jackson"/>
    <x v="0"/>
    <n v="2199.9913000000001"/>
  </r>
  <r>
    <n v="10628"/>
    <x v="35"/>
    <s v="Beverages"/>
    <n v="2.95"/>
    <n v="677.97"/>
    <s v="Online "/>
    <s v=" Gift Card"/>
    <s v="Joao Silva"/>
    <x v="2"/>
    <n v="2000.0115000000003"/>
  </r>
  <r>
    <n v="10629"/>
    <x v="35"/>
    <s v="Sides &amp; Other"/>
    <n v="4.99"/>
    <n v="200.4"/>
    <s v="Online "/>
    <s v=" Gift Card"/>
    <s v="Joao Silva"/>
    <x v="2"/>
    <n v="999.99600000000009"/>
  </r>
  <r>
    <n v="10630"/>
    <x v="36"/>
    <s v="Burgers"/>
    <n v="12.99"/>
    <n v="569.66999999999996"/>
    <s v="Online "/>
    <s v=" Cash"/>
    <s v="Joao Silva"/>
    <x v="2"/>
    <n v="7400.0132999999996"/>
  </r>
  <r>
    <n v="10631"/>
    <x v="36"/>
    <s v="Chicken Sandwiches"/>
    <n v="9.9499999999999993"/>
    <n v="201.01"/>
    <s v="Online "/>
    <s v=" Gift Card"/>
    <s v="Joao Silva"/>
    <x v="2"/>
    <n v="2000.0494999999999"/>
  </r>
  <r>
    <n v="10632"/>
    <x v="36"/>
    <s v="Fries"/>
    <n v="3.49"/>
    <n v="630.37"/>
    <s v="Online "/>
    <s v=" Gift Card"/>
    <s v="Joao Silva"/>
    <x v="2"/>
    <n v="2199.9913000000001"/>
  </r>
  <r>
    <n v="10633"/>
    <x v="36"/>
    <s v="Beverages"/>
    <n v="2.95"/>
    <n v="677.97"/>
    <s v="Online "/>
    <s v=" Gift Card"/>
    <s v="Joao Silva"/>
    <x v="2"/>
    <n v="2000.0115000000003"/>
  </r>
  <r>
    <n v="10634"/>
    <x v="36"/>
    <s v="Sides &amp; Other"/>
    <n v="4.99"/>
    <n v="200.4"/>
    <s v="Online "/>
    <s v=" Gift Card"/>
    <s v="Joao Silva"/>
    <x v="2"/>
    <n v="999.99600000000009"/>
  </r>
  <r>
    <n v="10635"/>
    <x v="37"/>
    <s v="Burgers"/>
    <n v="12.99"/>
    <n v="554.27"/>
    <s v="Online "/>
    <s v=" Gift Card"/>
    <s v="Joao Silva"/>
    <x v="2"/>
    <n v="7199.9673000000003"/>
  </r>
  <r>
    <n v="10636"/>
    <x v="37"/>
    <s v="Chicken Sandwiches"/>
    <n v="9.9499999999999993"/>
    <n v="221.11"/>
    <s v="Online "/>
    <s v=" Gift Card"/>
    <s v="Joao Silva"/>
    <x v="2"/>
    <n v="2200.0445"/>
  </r>
  <r>
    <n v="10637"/>
    <x v="37"/>
    <s v="Fries"/>
    <n v="3.49"/>
    <n v="630.37"/>
    <s v="Online "/>
    <s v=" Gift Card"/>
    <s v="Joao Silva"/>
    <x v="2"/>
    <n v="2199.9913000000001"/>
  </r>
  <r>
    <n v="10638"/>
    <x v="37"/>
    <s v="Beverages"/>
    <n v="2.95"/>
    <n v="677.97"/>
    <s v="Online "/>
    <s v=" Gift Card"/>
    <s v="Joao Silva"/>
    <x v="2"/>
    <n v="2000.0115000000003"/>
  </r>
  <r>
    <n v="10639"/>
    <x v="37"/>
    <s v="Sides &amp; Other"/>
    <n v="4.99"/>
    <n v="200.4"/>
    <s v="Online "/>
    <s v=" Gift Card"/>
    <s v="Joao Silva"/>
    <x v="2"/>
    <n v="999.99600000000009"/>
  </r>
  <r>
    <n v="10640"/>
    <x v="38"/>
    <s v="Burgers"/>
    <n v="12.99"/>
    <n v="538.88"/>
    <s v="Online "/>
    <s v=" Gift Card"/>
    <s v="Joao Silva"/>
    <x v="2"/>
    <n v="7000.0511999999999"/>
  </r>
  <r>
    <n v="10641"/>
    <x v="38"/>
    <s v="Chicken Sandwiches"/>
    <n v="9.9499999999999993"/>
    <n v="221.11"/>
    <s v="Online "/>
    <s v=" Gift Card"/>
    <s v="Joao Silva"/>
    <x v="2"/>
    <n v="2200.0445"/>
  </r>
  <r>
    <n v="10642"/>
    <x v="38"/>
    <s v="Fries"/>
    <n v="3.49"/>
    <n v="630.37"/>
    <s v="Online "/>
    <s v=" Cash"/>
    <s v="Joao Silva"/>
    <x v="2"/>
    <n v="2199.9913000000001"/>
  </r>
  <r>
    <n v="10643"/>
    <x v="38"/>
    <s v="Beverages"/>
    <n v="2.95"/>
    <n v="677.97"/>
    <s v="Online "/>
    <s v=" Cash"/>
    <s v="Joao Silva"/>
    <x v="2"/>
    <n v="2000.0115000000003"/>
  </r>
  <r>
    <n v="10644"/>
    <x v="38"/>
    <s v="Sides &amp; Other"/>
    <n v="4.99"/>
    <n v="200.4"/>
    <s v="Online "/>
    <s v=" Cash"/>
    <s v="Joao Silva"/>
    <x v="2"/>
    <n v="999.99600000000009"/>
  </r>
  <r>
    <n v="10645"/>
    <x v="39"/>
    <s v="Burgers"/>
    <n v="12.99"/>
    <n v="569.66999999999996"/>
    <s v="Online "/>
    <s v=" Cash"/>
    <s v="Joao Silva"/>
    <x v="2"/>
    <n v="7400.0132999999996"/>
  </r>
  <r>
    <n v="10646"/>
    <x v="39"/>
    <s v="Chicken Sandwiches"/>
    <n v="9.9499999999999993"/>
    <n v="221.11"/>
    <s v="Online "/>
    <s v=" Cash"/>
    <s v="Joao Silva"/>
    <x v="2"/>
    <n v="2200.0445"/>
  </r>
  <r>
    <n v="10647"/>
    <x v="39"/>
    <s v="Fries"/>
    <n v="3.49"/>
    <n v="630.37"/>
    <s v="Online "/>
    <s v=" Gift Card"/>
    <s v="Joao Silva"/>
    <x v="2"/>
    <n v="2199.9913000000001"/>
  </r>
  <r>
    <n v="10648"/>
    <x v="39"/>
    <s v="Beverages"/>
    <n v="2.95"/>
    <n v="745.76"/>
    <s v="Online "/>
    <s v=" Gift Card"/>
    <s v="Joao Silva"/>
    <x v="2"/>
    <n v="2199.9920000000002"/>
  </r>
  <r>
    <n v="10649"/>
    <x v="39"/>
    <s v="Sides &amp; Other"/>
    <n v="4.99"/>
    <n v="200.4"/>
    <s v="Online "/>
    <s v=" Gift Card"/>
    <s v="Joao Silva"/>
    <x v="2"/>
    <n v="999.99600000000009"/>
  </r>
  <r>
    <n v="10650"/>
    <x v="40"/>
    <s v="Burgers"/>
    <n v="12.99"/>
    <n v="585.07000000000005"/>
    <s v="Online "/>
    <s v=" Gift Card"/>
    <s v="Joao Silva"/>
    <x v="2"/>
    <n v="7600.0593000000008"/>
  </r>
  <r>
    <n v="10651"/>
    <x v="40"/>
    <s v="Chicken Sandwiches"/>
    <n v="9.9499999999999993"/>
    <n v="221.11"/>
    <s v="Online "/>
    <s v=" Gift Card"/>
    <s v="Joao Silva"/>
    <x v="2"/>
    <n v="2200.0445"/>
  </r>
  <r>
    <n v="10652"/>
    <x v="40"/>
    <s v="Fries"/>
    <n v="3.49"/>
    <n v="687.68"/>
    <s v="Online "/>
    <s v=" Gift Card"/>
    <s v="Joao Silva"/>
    <x v="2"/>
    <n v="2400.0032000000001"/>
  </r>
  <r>
    <n v="10653"/>
    <x v="40"/>
    <s v="Beverages"/>
    <n v="2.95"/>
    <n v="745.76"/>
    <s v="Online "/>
    <s v=" Gift Card"/>
    <s v="Joao Silva"/>
    <x v="2"/>
    <n v="2199.9920000000002"/>
  </r>
  <r>
    <n v="10654"/>
    <x v="40"/>
    <s v="Sides &amp; Other"/>
    <n v="4.99"/>
    <n v="200.4"/>
    <s v="Online "/>
    <s v=" Gift Card"/>
    <s v="Joao Silva"/>
    <x v="2"/>
    <n v="999.99600000000009"/>
  </r>
  <r>
    <n v="10655"/>
    <x v="41"/>
    <s v="Burgers"/>
    <n v="12.99"/>
    <n v="600.46"/>
    <s v="Online "/>
    <s v=" Gift Card"/>
    <s v="Joao Silva"/>
    <x v="2"/>
    <n v="7799.9754000000003"/>
  </r>
  <r>
    <n v="10656"/>
    <x v="41"/>
    <s v="Chicken Sandwiches"/>
    <n v="9.9499999999999993"/>
    <n v="221.11"/>
    <s v="Online "/>
    <s v=" Gift Card"/>
    <s v="Joao Silva"/>
    <x v="2"/>
    <n v="2200.0445"/>
  </r>
  <r>
    <n v="10657"/>
    <x v="41"/>
    <s v="Fries"/>
    <n v="3.49"/>
    <n v="687.68"/>
    <s v="Online "/>
    <s v=" Gift Card"/>
    <s v="Joao Silva"/>
    <x v="2"/>
    <n v="2400.0032000000001"/>
  </r>
  <r>
    <n v="10658"/>
    <x v="41"/>
    <s v="Beverages"/>
    <n v="2.95"/>
    <n v="745.76"/>
    <s v="Online "/>
    <s v=" Cash"/>
    <s v="Joao Silva"/>
    <x v="2"/>
    <n v="2199.9920000000002"/>
  </r>
  <r>
    <n v="10659"/>
    <x v="41"/>
    <s v="Sides &amp; Other"/>
    <n v="4.99"/>
    <n v="200.4"/>
    <s v="Online "/>
    <s v=" Cash"/>
    <s v="Joao Silva"/>
    <x v="2"/>
    <n v="999.99600000000009"/>
  </r>
  <r>
    <n v="10660"/>
    <x v="42"/>
    <s v="Burgers"/>
    <n v="12.99"/>
    <n v="631.25"/>
    <s v="In-store "/>
    <s v=" Cash"/>
    <s v="Joao Silva"/>
    <x v="2"/>
    <n v="8199.9375"/>
  </r>
  <r>
    <n v="10661"/>
    <x v="42"/>
    <s v="Chicken Sandwiches"/>
    <n v="9.9499999999999993"/>
    <n v="221.11"/>
    <s v="In-store "/>
    <s v=" Cash"/>
    <s v="Joao Silva"/>
    <x v="2"/>
    <n v="2200.0445"/>
  </r>
  <r>
    <n v="10662"/>
    <x v="42"/>
    <s v="Fries"/>
    <n v="3.49"/>
    <n v="630.37"/>
    <s v="In-store "/>
    <s v=" Cash"/>
    <s v="Joao Silva"/>
    <x v="2"/>
    <n v="2199.9913000000001"/>
  </r>
  <r>
    <n v="10663"/>
    <x v="42"/>
    <s v="Beverages"/>
    <n v="2.95"/>
    <n v="745.76"/>
    <s v="In-store "/>
    <s v=" Cash"/>
    <s v="Joao Silva"/>
    <x v="2"/>
    <n v="2199.9920000000002"/>
  </r>
  <r>
    <n v="10664"/>
    <x v="42"/>
    <s v="Sides &amp; Other"/>
    <n v="4.99"/>
    <n v="200.4"/>
    <s v="In-store "/>
    <s v=" Cash"/>
    <s v="Joao Silva"/>
    <x v="2"/>
    <n v="999.99600000000009"/>
  </r>
  <r>
    <n v="10665"/>
    <x v="43"/>
    <s v="Burgers"/>
    <n v="12.99"/>
    <n v="646.65"/>
    <s v="In-store "/>
    <s v=" Cash"/>
    <s v="Joao Silva"/>
    <x v="2"/>
    <n v="8399.9835000000003"/>
  </r>
  <r>
    <n v="10666"/>
    <x v="43"/>
    <s v="Chicken Sandwiches"/>
    <n v="9.9499999999999993"/>
    <n v="221.11"/>
    <s v="In-store "/>
    <s v=" Cash"/>
    <s v="Joao Silva"/>
    <x v="2"/>
    <n v="2200.0445"/>
  </r>
  <r>
    <n v="10667"/>
    <x v="43"/>
    <s v="Fries"/>
    <n v="3.49"/>
    <n v="630.37"/>
    <s v="In-store "/>
    <s v=" Cash"/>
    <s v="Joao Silva"/>
    <x v="2"/>
    <n v="2199.9913000000001"/>
  </r>
  <r>
    <n v="10668"/>
    <x v="43"/>
    <s v="Beverages"/>
    <n v="2.95"/>
    <n v="745.76"/>
    <s v="In-store "/>
    <s v=" Cash"/>
    <s v="Joao Silva"/>
    <x v="2"/>
    <n v="2199.9920000000002"/>
  </r>
  <r>
    <n v="10669"/>
    <x v="43"/>
    <s v="Sides &amp; Other"/>
    <n v="4.99"/>
    <n v="200.4"/>
    <s v="In-store "/>
    <s v=" Cash"/>
    <s v="Joao Silva"/>
    <x v="2"/>
    <n v="999.99600000000009"/>
  </r>
  <r>
    <n v="10670"/>
    <x v="44"/>
    <s v="Burgers"/>
    <n v="12.99"/>
    <n v="677.44"/>
    <s v="In-store "/>
    <s v=" Cash"/>
    <s v="Joao Silva"/>
    <x v="2"/>
    <n v="8799.9456000000009"/>
  </r>
  <r>
    <n v="10671"/>
    <x v="44"/>
    <s v="Chicken Sandwiches"/>
    <n v="9.9499999999999993"/>
    <n v="221.11"/>
    <s v="In-store "/>
    <s v=" Cash"/>
    <s v="Joao Silva"/>
    <x v="2"/>
    <n v="2200.0445"/>
  </r>
  <r>
    <n v="10672"/>
    <x v="44"/>
    <s v="Fries"/>
    <n v="3.49"/>
    <n v="630.37"/>
    <s v="In-store "/>
    <s v=" Cash"/>
    <s v="Joao Silva"/>
    <x v="2"/>
    <n v="2199.9913000000001"/>
  </r>
  <r>
    <n v="10673"/>
    <x v="44"/>
    <s v="Beverages"/>
    <n v="2.95"/>
    <n v="745.76"/>
    <s v="In-store "/>
    <s v=" Cash"/>
    <s v="Joao Silva"/>
    <x v="2"/>
    <n v="2199.9920000000002"/>
  </r>
  <r>
    <n v="10674"/>
    <x v="44"/>
    <s v="Sides &amp; Other"/>
    <n v="4.99"/>
    <n v="200.4"/>
    <s v="In-store "/>
    <s v=" Cash"/>
    <s v="Joao Silva"/>
    <x v="2"/>
    <n v="999.99600000000009"/>
  </r>
  <r>
    <n v="10675"/>
    <x v="45"/>
    <s v="Burgers"/>
    <n v="12.99"/>
    <n v="677.44"/>
    <s v="In-store "/>
    <s v=" Cash"/>
    <s v="Joao Silva"/>
    <x v="2"/>
    <n v="8799.9456000000009"/>
  </r>
  <r>
    <n v="10676"/>
    <x v="45"/>
    <s v="Chicken Sandwiches"/>
    <n v="9.9499999999999993"/>
    <n v="241.21"/>
    <s v="In-store "/>
    <s v=" Cash"/>
    <s v="Joao Silva"/>
    <x v="2"/>
    <n v="2400.0394999999999"/>
  </r>
  <r>
    <n v="10677"/>
    <x v="45"/>
    <s v="Fries"/>
    <n v="3.49"/>
    <n v="630.37"/>
    <s v="In-store "/>
    <s v=" Cash"/>
    <s v="Joao Silva"/>
    <x v="2"/>
    <n v="2199.9913000000001"/>
  </r>
  <r>
    <n v="10678"/>
    <x v="45"/>
    <s v="Beverages"/>
    <n v="2.95"/>
    <n v="745.76"/>
    <s v="In-store "/>
    <s v=" Cash"/>
    <s v="Joao Silva"/>
    <x v="2"/>
    <n v="2199.9920000000002"/>
  </r>
  <r>
    <n v="10679"/>
    <x v="45"/>
    <s v="Sides &amp; Other"/>
    <n v="4.99"/>
    <n v="200.4"/>
    <s v="In-store "/>
    <s v=" Cash"/>
    <s v="Joao Silva"/>
    <x v="2"/>
    <n v="999.99600000000009"/>
  </r>
  <r>
    <n v="10680"/>
    <x v="46"/>
    <s v="Burgers"/>
    <n v="12.99"/>
    <n v="646.65"/>
    <s v="In-store "/>
    <s v=" Cash"/>
    <s v="Joao Silva"/>
    <x v="2"/>
    <n v="8399.9835000000003"/>
  </r>
  <r>
    <n v="10681"/>
    <x v="46"/>
    <s v="Chicken Sandwiches"/>
    <n v="9.9499999999999993"/>
    <n v="241.21"/>
    <s v="In-store "/>
    <s v=" Cash"/>
    <s v="Joao Silva"/>
    <x v="2"/>
    <n v="2400.0394999999999"/>
  </r>
  <r>
    <n v="10682"/>
    <x v="46"/>
    <s v="Fries"/>
    <n v="3.49"/>
    <n v="630.37"/>
    <s v="In-store "/>
    <s v=" Cash"/>
    <s v="Joao Silva"/>
    <x v="2"/>
    <n v="2199.9913000000001"/>
  </r>
  <r>
    <n v="10683"/>
    <x v="46"/>
    <s v="Beverages"/>
    <n v="2.95"/>
    <n v="677.97"/>
    <s v="In-store "/>
    <s v=" Cash"/>
    <s v="Joao Silva"/>
    <x v="2"/>
    <n v="2000.0115000000003"/>
  </r>
  <r>
    <n v="10684"/>
    <x v="46"/>
    <s v="Sides &amp; Other"/>
    <n v="4.99"/>
    <n v="200.4"/>
    <s v="In-store "/>
    <s v=" Cash"/>
    <s v="Joao Silva"/>
    <x v="2"/>
    <n v="999.99600000000009"/>
  </r>
  <r>
    <n v="10685"/>
    <x v="47"/>
    <s v="Burgers"/>
    <n v="12.99"/>
    <n v="677.44"/>
    <s v="In-store "/>
    <s v=" Cash"/>
    <s v="Joao Silva"/>
    <x v="2"/>
    <n v="8799.9456000000009"/>
  </r>
  <r>
    <n v="10686"/>
    <x v="47"/>
    <s v="Chicken Sandwiches"/>
    <n v="9.9499999999999993"/>
    <n v="241.21"/>
    <s v="In-store "/>
    <s v=" Cash"/>
    <s v="Joao Silva"/>
    <x v="2"/>
    <n v="2400.0394999999999"/>
  </r>
  <r>
    <n v="10687"/>
    <x v="47"/>
    <s v="Fries"/>
    <n v="3.49"/>
    <n v="630.37"/>
    <s v="In-store "/>
    <s v=" Cash"/>
    <s v="Walter Muller"/>
    <x v="3"/>
    <n v="2199.9913000000001"/>
  </r>
  <r>
    <n v="10688"/>
    <x v="47"/>
    <s v="Beverages"/>
    <n v="2.95"/>
    <n v="677.97"/>
    <s v="In-store "/>
    <s v=" Cash"/>
    <s v="Walter Muller"/>
    <x v="3"/>
    <n v="2000.0115000000003"/>
  </r>
  <r>
    <n v="10689"/>
    <x v="47"/>
    <s v="Sides &amp; Other"/>
    <n v="4.99"/>
    <n v="200.4"/>
    <s v="In-store "/>
    <s v=" Cash"/>
    <s v="Walter Muller"/>
    <x v="3"/>
    <n v="999.99600000000009"/>
  </r>
  <r>
    <n v="10690"/>
    <x v="48"/>
    <s v="Burgers"/>
    <n v="12.99"/>
    <n v="677.44"/>
    <s v="In-store "/>
    <s v=" Cash"/>
    <s v="Walter Muller"/>
    <x v="3"/>
    <n v="8799.9456000000009"/>
  </r>
  <r>
    <n v="10691"/>
    <x v="48"/>
    <s v="Chicken Sandwiches"/>
    <n v="9.9499999999999993"/>
    <n v="261.31"/>
    <s v="In-store "/>
    <s v=" Cash"/>
    <s v="Walter Muller"/>
    <x v="3"/>
    <n v="2600.0344999999998"/>
  </r>
  <r>
    <n v="10692"/>
    <x v="48"/>
    <s v="Fries"/>
    <n v="3.49"/>
    <n v="630.37"/>
    <s v="In-store "/>
    <s v=" Cash"/>
    <s v="Walter Muller"/>
    <x v="3"/>
    <n v="2199.9913000000001"/>
  </r>
  <r>
    <n v="10693"/>
    <x v="48"/>
    <s v="Beverages"/>
    <n v="2.95"/>
    <n v="677.97"/>
    <s v="In-store "/>
    <s v=" Cash"/>
    <s v="Walter Muller"/>
    <x v="3"/>
    <n v="2000.0115000000003"/>
  </r>
  <r>
    <n v="10694"/>
    <x v="48"/>
    <s v="Sides &amp; Other"/>
    <n v="4.99"/>
    <n v="200.4"/>
    <s v="In-store "/>
    <s v=" Cash"/>
    <s v="Walter Muller"/>
    <x v="3"/>
    <n v="999.99600000000009"/>
  </r>
  <r>
    <n v="10695"/>
    <x v="49"/>
    <s v="Burgers"/>
    <n v="12.99"/>
    <n v="692.84"/>
    <s v="In-store "/>
    <s v=" Cash"/>
    <s v="Walter Muller"/>
    <x v="3"/>
    <n v="8999.9916000000012"/>
  </r>
  <r>
    <n v="10696"/>
    <x v="49"/>
    <s v="Chicken Sandwiches"/>
    <n v="9.9499999999999993"/>
    <n v="281.41000000000003"/>
    <s v="In-store "/>
    <s v=" Cash"/>
    <s v="Walter Muller"/>
    <x v="3"/>
    <n v="2800.0295000000001"/>
  </r>
  <r>
    <n v="10697"/>
    <x v="49"/>
    <s v="Fries"/>
    <n v="3.49"/>
    <n v="630.37"/>
    <s v="In-store "/>
    <s v=" Cash"/>
    <s v="Walter Muller"/>
    <x v="3"/>
    <n v="2199.9913000000001"/>
  </r>
  <r>
    <n v="10698"/>
    <x v="49"/>
    <s v="Beverages"/>
    <n v="2.95"/>
    <n v="677.97"/>
    <s v="In-store "/>
    <s v=" Cash"/>
    <s v="Walter Muller"/>
    <x v="3"/>
    <n v="2000.0115000000003"/>
  </r>
  <r>
    <n v="10699"/>
    <x v="49"/>
    <s v="Sides &amp; Other"/>
    <n v="4.99"/>
    <n v="200.4"/>
    <s v="In-store "/>
    <s v=" Cash"/>
    <s v="Walter Muller"/>
    <x v="3"/>
    <n v="999.99600000000009"/>
  </r>
  <r>
    <n v="10700"/>
    <x v="50"/>
    <s v="Burgers"/>
    <n v="12.99"/>
    <n v="692.84"/>
    <s v="In-store "/>
    <s v=" Cash"/>
    <s v="Walter Muller"/>
    <x v="3"/>
    <n v="8999.9916000000012"/>
  </r>
  <r>
    <n v="10701"/>
    <x v="50"/>
    <s v="Chicken Sandwiches"/>
    <n v="9.9499999999999993"/>
    <n v="281.41000000000003"/>
    <s v="In-store "/>
    <s v=" Cash"/>
    <s v="Walter Muller"/>
    <x v="3"/>
    <n v="2800.0295000000001"/>
  </r>
  <r>
    <n v="10702"/>
    <x v="50"/>
    <s v="Fries"/>
    <n v="3.49"/>
    <n v="630.37"/>
    <s v="In-store "/>
    <s v=" Cash"/>
    <s v="Walter Muller"/>
    <x v="3"/>
    <n v="2199.9913000000001"/>
  </r>
  <r>
    <n v="10703"/>
    <x v="50"/>
    <s v="Beverages"/>
    <n v="2.95"/>
    <n v="677.97"/>
    <s v="In-store "/>
    <s v=" Gift Card"/>
    <s v="Walter Muller"/>
    <x v="3"/>
    <n v="2000.0115000000003"/>
  </r>
  <r>
    <n v="10704"/>
    <x v="50"/>
    <s v="Sides &amp; Other"/>
    <n v="4.99"/>
    <n v="200.4"/>
    <s v="Drive-thru "/>
    <s v=" Gift Card"/>
    <s v="Walter Muller"/>
    <x v="3"/>
    <n v="999.99600000000009"/>
  </r>
  <r>
    <n v="10705"/>
    <x v="51"/>
    <s v="Burgers"/>
    <n v="12.99"/>
    <n v="723.63"/>
    <s v="Drive-thru "/>
    <s v=" Gift Card"/>
    <s v="Walter Muller"/>
    <x v="3"/>
    <n v="9399.9537"/>
  </r>
  <r>
    <n v="10706"/>
    <x v="51"/>
    <s v="Chicken Sandwiches"/>
    <n v="9.9499999999999993"/>
    <n v="301.51"/>
    <s v="Drive-thru "/>
    <s v=" Gift Card"/>
    <s v="Walter Muller"/>
    <x v="3"/>
    <n v="3000.0244999999995"/>
  </r>
  <r>
    <n v="10707"/>
    <x v="51"/>
    <s v="Fries"/>
    <n v="3.49"/>
    <n v="630.37"/>
    <s v="Drive-thru "/>
    <s v=" Gift Card"/>
    <s v="Walter Muller"/>
    <x v="3"/>
    <n v="2199.9913000000001"/>
  </r>
  <r>
    <n v="10708"/>
    <x v="51"/>
    <s v="Beverages"/>
    <n v="2.95"/>
    <n v="677.97"/>
    <s v="Drive-thru "/>
    <s v=" Gift Card"/>
    <s v="Walter Muller"/>
    <x v="3"/>
    <n v="2000.0115000000003"/>
  </r>
  <r>
    <n v="10709"/>
    <x v="51"/>
    <s v="Sides &amp; Other"/>
    <n v="4.99"/>
    <n v="200.4"/>
    <s v="Drive-thru "/>
    <s v=" Gift Card"/>
    <s v="Walter Muller"/>
    <x v="3"/>
    <n v="999.99600000000009"/>
  </r>
  <r>
    <n v="10710"/>
    <x v="52"/>
    <s v="Burgers"/>
    <n v="12.99"/>
    <n v="754.43"/>
    <s v="Drive-thru "/>
    <s v=" Gift Card"/>
    <s v="Walter Muller"/>
    <x v="3"/>
    <n v="9800.0456999999988"/>
  </r>
  <r>
    <n v="10711"/>
    <x v="52"/>
    <s v="Chicken Sandwiches"/>
    <n v="9.9499999999999993"/>
    <n v="281.41000000000003"/>
    <s v="Drive-thru "/>
    <s v=" Gift Card"/>
    <s v="Walter Muller"/>
    <x v="3"/>
    <n v="2800.0295000000001"/>
  </r>
  <r>
    <n v="10712"/>
    <x v="52"/>
    <s v="Fries"/>
    <n v="3.49"/>
    <n v="630.37"/>
    <s v="Drive-thru "/>
    <s v=" Gift Card"/>
    <s v="Walter Muller"/>
    <x v="3"/>
    <n v="2199.9913000000001"/>
  </r>
  <r>
    <n v="10713"/>
    <x v="52"/>
    <s v="Beverages"/>
    <n v="2.95"/>
    <n v="677.97"/>
    <s v="Drive-thru "/>
    <s v=" Gift Card"/>
    <s v="Walter Muller"/>
    <x v="3"/>
    <n v="2000.0115000000003"/>
  </r>
  <r>
    <m/>
    <x v="53"/>
    <m/>
    <m/>
    <m/>
    <m/>
    <m/>
    <m/>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F6DB53-D378-428B-B99D-C79275C2679B}" name="PivotTable11"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9" firstHeaderRow="0" firstDataRow="1" firstDataCol="1"/>
  <pivotFields count="4">
    <pivotField dataField="1" subtotalTop="0" showAll="0" defaultSubtotal="0"/>
    <pivotField axis="axisRow" allDrilled="1" showAll="0" dataSourceSort="1" defaultAttributeDrillState="1">
      <items count="6">
        <item x="0"/>
        <item x="1"/>
        <item x="2"/>
        <item x="3"/>
        <item x="4"/>
        <item t="default"/>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Sum of Quantity" fld="0" baseField="0" baseItem="0"/>
    <dataField name="Sum of revenue" fld="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taurant Sales Data.xlsx!_9__Sales_Data_Analysis">
        <x15:activeTabTopLevelEntity name="[_9__Sales_Data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B81116-E049-4480-B58C-48F0FF0B1D3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1">
    <pivotField dataField="1"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showAll="0"/>
    <pivotField showAll="0"/>
    <pivotField showAll="0"/>
    <pivotField showAll="0"/>
    <pivotField axis="axisRow" showAll="0">
      <items count="4">
        <item x="2"/>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Count of Order ID" fld="0" subtotal="count" baseField="6" baseItem="0"/>
  </dataFields>
  <chartFormats count="8">
    <chartFormat chart="0"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6" count="1" selected="0">
            <x v="0"/>
          </reference>
        </references>
      </pivotArea>
    </chartFormat>
    <chartFormat chart="9" format="7">
      <pivotArea type="data" outline="0" fieldPosition="0">
        <references count="2">
          <reference field="4294967294" count="1" selected="0">
            <x v="0"/>
          </reference>
          <reference field="6" count="1" selected="0">
            <x v="1"/>
          </reference>
        </references>
      </pivotArea>
    </chartFormat>
    <chartFormat chart="9"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BF849A-55EB-4EC4-9F23-BA9206FAF245}" name="PivotTable14"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3">
    <pivotField axis="axisRow" allDrilled="1" showAll="0" dataSourceSort="1" defaultAttributeDrillState="1">
      <items count="6">
        <item x="0"/>
        <item x="1"/>
        <item x="2"/>
        <item x="3"/>
        <item x="4"/>
        <item t="default"/>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 chart="6" format="4">
      <pivotArea type="data" outline="0" fieldPosition="0">
        <references count="2">
          <reference field="4294967294" count="1" selected="0">
            <x v="0"/>
          </reference>
          <reference field="0" count="1" selected="0">
            <x v="1"/>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 chart="6" format="6">
      <pivotArea type="data" outline="0" fieldPosition="0">
        <references count="2">
          <reference field="4294967294" count="1" selected="0">
            <x v="0"/>
          </reference>
          <reference field="0" count="1" selected="0">
            <x v="3"/>
          </reference>
        </references>
      </pivotArea>
    </chartFormat>
    <chartFormat chart="6" format="7">
      <pivotArea type="data" outline="0" fieldPosition="0">
        <references count="2">
          <reference field="4294967294" count="1" selected="0">
            <x v="0"/>
          </reference>
          <reference field="0" count="1" selected="0">
            <x v="4"/>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taurant Sales Data.xlsx!_9__Sales_Data_Analysis">
        <x15:activeTabTopLevelEntity name="[_9__Sales_Data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EE6B17-0DCF-4054-9B88-8B86C9470632}"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2">
    <pivotField showAll="0"/>
    <pivotField axis="axisRow"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pivotField showAll="0"/>
    <pivotField showAll="0"/>
    <pivotField showAll="0"/>
    <pivotField showAll="0"/>
    <pivotField showAll="0"/>
    <pivotField showAll="0">
      <items count="7">
        <item x="3"/>
        <item x="2"/>
        <item x="0"/>
        <item x="1"/>
        <item x="4"/>
        <item x="5"/>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4">
    <i>
      <x/>
    </i>
    <i>
      <x v="11"/>
    </i>
    <i>
      <x v="12"/>
    </i>
    <i t="grand">
      <x/>
    </i>
  </rowItems>
  <colItems count="1">
    <i/>
  </colItems>
  <dataFields count="1">
    <dataField name="Sum of revenue" fld="9" baseField="0" baseItem="0"/>
  </dataFields>
  <chartFormats count="4">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1" count="1" selected="0">
            <x v="12"/>
          </reference>
        </references>
      </pivotArea>
    </chartFormat>
    <chartFormat chart="8" format="4">
      <pivotArea type="data" outline="0" fieldPosition="0">
        <references count="2">
          <reference field="4294967294" count="1" selected="0">
            <x v="0"/>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B26A52-B981-4363-B37F-442B8735E69B}" name="PivotTable17"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Average of revenue" fld="0" subtotal="average" baseField="0" baseItem="0"/>
  </dataFields>
  <chartFormats count="12">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1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evenue"/>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staurant Sales Data.xlsx!_9__Sales_Data_Analysis">
        <x15:activeTabTopLevelEntity name="[_9__Sales_Data_Analysi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5AD6E0-E8A2-4DBC-BF05-1A7B0F80BE0C}" autoFormatId="16" applyNumberFormats="0" applyBorderFormats="0" applyFontFormats="0" applyPatternFormats="0" applyAlignmentFormats="0" applyWidthHeightFormats="0">
  <queryTableRefresh nextId="11" unboundColumnsRight="1">
    <queryTableFields count="10">
      <queryTableField id="1" name="Order ID" tableColumnId="1"/>
      <queryTableField id="2" name="Date" tableColumnId="2"/>
      <queryTableField id="3" name="Product" tableColumnId="3"/>
      <queryTableField id="4" name="Price" tableColumnId="4"/>
      <queryTableField id="5" name="Quantity" tableColumnId="5"/>
      <queryTableField id="6" name="Purchase Type" tableColumnId="6"/>
      <queryTableField id="7" name="Payment Method" tableColumnId="7"/>
      <queryTableField id="8" name="Manager" tableColumnId="8"/>
      <queryTableField id="9" name="City"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DA84684-245E-4138-81BB-26DBDE9807C8}" sourceName="[_9__Sales_Data_Analysis].[Payment Method]">
  <pivotTables>
    <pivotTable tabId="11" name="PivotTable11"/>
    <pivotTable tabId="16" name="PivotTable17"/>
    <pivotTable tabId="13" name="PivotTable14"/>
  </pivotTables>
  <data>
    <olap pivotCacheId="36541358">
      <levels count="2">
        <level uniqueName="[_9__Sales_Data_Analysis].[Payment Method].[(All)]" sourceCaption="(All)" count="0"/>
        <level uniqueName="[_9__Sales_Data_Analysis].[Payment Method].[Payment Method]" sourceCaption="Payment Method" count="3">
          <ranges>
            <range startItem="0">
              <i n="[_9__Sales_Data_Analysis].[Payment Method].&amp;[ Cash]" c=" Cash"/>
              <i n="[_9__Sales_Data_Analysis].[Payment Method].&amp;[ Credit Card]" c=" Credit Card"/>
              <i n="[_9__Sales_Data_Analysis].[Payment Method].&amp;[ Gift Card]" c=" Gift Card"/>
            </range>
          </ranges>
        </level>
      </levels>
      <selections count="1">
        <selection n="[_9__Sales_Data_Analysis].[Payment Metho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Type" xr10:uid="{008CC73B-E229-4F40-987D-0A6970453067}" sourceName="[_9__Sales_Data_Analysis].[Purchase Type]">
  <pivotTables>
    <pivotTable tabId="13" name="PivotTable14"/>
    <pivotTable tabId="16" name="PivotTable17"/>
    <pivotTable tabId="11" name="PivotTable11"/>
  </pivotTables>
  <data>
    <olap pivotCacheId="36541358">
      <levels count="2">
        <level uniqueName="[_9__Sales_Data_Analysis].[Purchase Type].[(All)]" sourceCaption="(All)" count="0"/>
        <level uniqueName="[_9__Sales_Data_Analysis].[Purchase Type].[Purchase Type]" sourceCaption="Purchase Type" count="3">
          <ranges>
            <range startItem="0">
              <i n="[_9__Sales_Data_Analysis].[Purchase Type].&amp;[Drive-thru]" c="Drive-thru"/>
              <i n="[_9__Sales_Data_Analysis].[Purchase Type].&amp;[In-store]" c="In-store"/>
              <i n="[_9__Sales_Data_Analysis].[Purchase Type].&amp;[Online]" c="Online"/>
            </range>
          </ranges>
        </level>
      </levels>
      <selections count="1">
        <selection n="[_9__Sales_Data_Analysis].[Purchase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B319388-AE1F-4746-B658-FB2F6561AE36}" sourceName="City">
  <pivotTables>
    <pivotTable tabId="14" name="PivotTable15"/>
  </pivotTables>
  <data>
    <tabular pivotCacheId="1902268439">
      <items count="6">
        <i x="3" s="1"/>
        <i x="2" s="1"/>
        <i x="0" s="1"/>
        <i x="1"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3756F9AB-D27D-4F03-9200-96559C8FC089}" cache="Slicer_Payment_Method" caption="Payment Method" level="1" rowHeight="900000"/>
  <slicer name="Purchase Type" xr10:uid="{07F04E18-C0BA-4A7E-B9F0-6C7E8D8B9C03}" cache="Slicer_Purchase_Type" caption="Purchase Type" level="1" rowHeight="900000"/>
  <slicer name="City" xr10:uid="{EBEA0A5C-8300-4D7F-AF5D-1E3654E83DF6}" cache="Slicer_City" caption="City"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664B14-D8C5-4E79-8F48-DBC543C950D4}" name="_9__Sales_Data_Analysis" displayName="_9__Sales_Data_Analysis" ref="A1:J255" tableType="queryTable" totalsRowShown="0">
  <autoFilter ref="A1:J255" xr:uid="{9F664B14-D8C5-4E79-8F48-DBC543C950D4}"/>
  <tableColumns count="10">
    <tableColumn id="1" xr3:uid="{41E1E98A-FDAD-44E4-8232-2A9CF130D62D}" uniqueName="1" name="Order ID" queryTableFieldId="1"/>
    <tableColumn id="2" xr3:uid="{A0248AF2-6106-4E79-967D-DF1DAD652672}" uniqueName="2" name="Date" queryTableFieldId="2" dataDxfId="8"/>
    <tableColumn id="3" xr3:uid="{B6825515-D1CB-4284-9382-EBB2BD2EC8CD}" uniqueName="3" name="Product" queryTableFieldId="3" dataDxfId="7"/>
    <tableColumn id="4" xr3:uid="{5727DF27-B113-4166-A0C8-02056B8E4977}" uniqueName="4" name="Price" queryTableFieldId="4" dataDxfId="6"/>
    <tableColumn id="5" xr3:uid="{BDFEAE47-3ED4-4E09-8371-5440EFEF4C24}" uniqueName="5" name="Quantity" queryTableFieldId="5" dataDxfId="5"/>
    <tableColumn id="6" xr3:uid="{BF849669-2691-4941-A492-A31ADE6BC8E5}" uniqueName="6" name="Purchase Type" queryTableFieldId="6" dataDxfId="4"/>
    <tableColumn id="7" xr3:uid="{DCED6B48-B274-4472-8E07-23C1C782B6C4}" uniqueName="7" name="Payment Method" queryTableFieldId="7" dataDxfId="3"/>
    <tableColumn id="8" xr3:uid="{510C0126-AC04-43ED-AEA9-BE3DF3E20FE2}" uniqueName="8" name="Manager" queryTableFieldId="8" dataDxfId="2"/>
    <tableColumn id="9" xr3:uid="{FCF4C8BB-F1BE-44AC-AA24-AABF6273CD37}" uniqueName="9" name="City" queryTableFieldId="9" dataDxfId="1"/>
    <tableColumn id="10" xr3:uid="{05C68558-B78F-4FFF-B512-1436B53B4A61}" uniqueName="10" name="revenue" queryTableFieldId="10" dataDxfId="0">
      <calculatedColumnFormula>D2*E2</calculatedColumnFormula>
    </tableColumn>
  </tableColumns>
  <tableStyleInfo showFirstColumn="0" showLastColumn="0" showRowStripes="1" showColumnStripes="0"/>
</table>
</file>

<file path=xl/theme/theme1.xml><?xml version="1.0" encoding="utf-8"?>
<a:theme xmlns:a="http://schemas.openxmlformats.org/drawingml/2006/main" name="View">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F480C-0BF8-48BD-B1F6-8CF1756EF67B}">
  <dimension ref="A3:C9"/>
  <sheetViews>
    <sheetView workbookViewId="0">
      <selection activeCell="B5" sqref="B5"/>
    </sheetView>
  </sheetViews>
  <sheetFormatPr defaultRowHeight="13.8" x14ac:dyDescent="0.25"/>
  <cols>
    <col min="1" max="1" width="17.796875" bestFit="1" customWidth="1"/>
    <col min="2" max="2" width="15.09765625" bestFit="1" customWidth="1"/>
    <col min="3" max="3" width="15" bestFit="1" customWidth="1"/>
  </cols>
  <sheetData>
    <row r="3" spans="1:3" x14ac:dyDescent="0.25">
      <c r="A3" s="2" t="s">
        <v>39</v>
      </c>
      <c r="B3" t="s">
        <v>41</v>
      </c>
      <c r="C3" t="s">
        <v>44</v>
      </c>
    </row>
    <row r="4" spans="1:3" x14ac:dyDescent="0.25">
      <c r="A4" s="3" t="s">
        <v>14</v>
      </c>
      <c r="B4" s="6">
        <v>34983.14</v>
      </c>
      <c r="C4" s="6">
        <v>103200.26299999992</v>
      </c>
    </row>
    <row r="5" spans="1:3" x14ac:dyDescent="0.25">
      <c r="A5" s="3" t="s">
        <v>21</v>
      </c>
      <c r="B5" s="6">
        <v>29022.31</v>
      </c>
      <c r="C5" s="6">
        <v>376999.80689999991</v>
      </c>
    </row>
    <row r="6" spans="1:3" x14ac:dyDescent="0.25">
      <c r="A6" s="3" t="s">
        <v>25</v>
      </c>
      <c r="B6" s="6">
        <v>11135.92</v>
      </c>
      <c r="C6" s="6">
        <v>114641.69500000002</v>
      </c>
    </row>
    <row r="7" spans="1:3" x14ac:dyDescent="0.25">
      <c r="A7" s="3" t="s">
        <v>9</v>
      </c>
      <c r="B7" s="6">
        <v>32034.34</v>
      </c>
      <c r="C7" s="6">
        <v>125674.29029999988</v>
      </c>
    </row>
    <row r="8" spans="1:3" x14ac:dyDescent="0.25">
      <c r="A8" s="3" t="s">
        <v>17</v>
      </c>
      <c r="B8" s="6">
        <v>9819.6</v>
      </c>
      <c r="C8" s="6">
        <v>48999.803999999967</v>
      </c>
    </row>
    <row r="9" spans="1:3" x14ac:dyDescent="0.25">
      <c r="A9" s="3" t="s">
        <v>40</v>
      </c>
      <c r="B9" s="6">
        <v>116995.31</v>
      </c>
      <c r="C9" s="6">
        <v>769515.85920000018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65279-8AE0-4EE9-8C5E-86D602A46A88}">
  <dimension ref="A3:B7"/>
  <sheetViews>
    <sheetView topLeftCell="A3" workbookViewId="0">
      <selection activeCell="C21" sqref="C21"/>
    </sheetView>
  </sheetViews>
  <sheetFormatPr defaultRowHeight="13.8" x14ac:dyDescent="0.25"/>
  <cols>
    <col min="1" max="1" width="12.5" customWidth="1"/>
    <col min="2" max="2" width="15.796875" customWidth="1"/>
  </cols>
  <sheetData>
    <row r="3" spans="1:2" x14ac:dyDescent="0.25">
      <c r="A3" s="2" t="s">
        <v>39</v>
      </c>
      <c r="B3" t="s">
        <v>42</v>
      </c>
    </row>
    <row r="4" spans="1:2" x14ac:dyDescent="0.25">
      <c r="A4" s="3" t="s">
        <v>37</v>
      </c>
      <c r="B4">
        <v>76</v>
      </c>
    </row>
    <row r="5" spans="1:2" x14ac:dyDescent="0.25">
      <c r="A5" s="3" t="s">
        <v>22</v>
      </c>
      <c r="B5">
        <v>120</v>
      </c>
    </row>
    <row r="6" spans="1:2" x14ac:dyDescent="0.25">
      <c r="A6" s="3" t="s">
        <v>11</v>
      </c>
      <c r="B6">
        <v>58</v>
      </c>
    </row>
    <row r="7" spans="1:2" x14ac:dyDescent="0.25">
      <c r="A7" s="3" t="s">
        <v>40</v>
      </c>
      <c r="B7">
        <v>254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65FF5-A6A3-42E9-8D9C-B4420A7CCAF4}">
  <dimension ref="A3:B9"/>
  <sheetViews>
    <sheetView workbookViewId="0">
      <selection activeCell="M2" sqref="M2"/>
    </sheetView>
  </sheetViews>
  <sheetFormatPr defaultRowHeight="13.8" x14ac:dyDescent="0.25"/>
  <cols>
    <col min="1" max="1" width="13.09765625" bestFit="1" customWidth="1"/>
    <col min="2" max="2" width="15" bestFit="1" customWidth="1"/>
  </cols>
  <sheetData>
    <row r="3" spans="1:2" x14ac:dyDescent="0.25">
      <c r="A3" s="2" t="s">
        <v>39</v>
      </c>
      <c r="B3" t="s">
        <v>44</v>
      </c>
    </row>
    <row r="4" spans="1:2" x14ac:dyDescent="0.25">
      <c r="A4" s="3" t="s">
        <v>24</v>
      </c>
      <c r="B4" s="6">
        <v>100600.13129999998</v>
      </c>
    </row>
    <row r="5" spans="1:2" x14ac:dyDescent="0.25">
      <c r="A5" s="3" t="s">
        <v>20</v>
      </c>
      <c r="B5" s="6">
        <v>241714.11570000008</v>
      </c>
    </row>
    <row r="6" spans="1:2" x14ac:dyDescent="0.25">
      <c r="A6" s="3" t="s">
        <v>13</v>
      </c>
      <c r="B6" s="6">
        <v>211201.04059999986</v>
      </c>
    </row>
    <row r="7" spans="1:2" x14ac:dyDescent="0.25">
      <c r="A7" s="3" t="s">
        <v>16</v>
      </c>
      <c r="B7" s="6">
        <v>136200.26649999997</v>
      </c>
    </row>
    <row r="8" spans="1:2" x14ac:dyDescent="0.25">
      <c r="A8" s="3" t="s">
        <v>27</v>
      </c>
      <c r="B8" s="6">
        <v>79800.305099999983</v>
      </c>
    </row>
    <row r="9" spans="1:2" x14ac:dyDescent="0.25">
      <c r="A9" s="3" t="s">
        <v>40</v>
      </c>
      <c r="B9" s="6">
        <v>769515.85920000018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9B557-087D-4169-8EDB-2001D61226D8}">
  <dimension ref="A3:B7"/>
  <sheetViews>
    <sheetView workbookViewId="0">
      <selection activeCell="B5" sqref="B5"/>
    </sheetView>
  </sheetViews>
  <sheetFormatPr defaultRowHeight="13.8" x14ac:dyDescent="0.25"/>
  <cols>
    <col min="1" max="1" width="13.09765625" bestFit="1" customWidth="1"/>
    <col min="2" max="2" width="15" bestFit="1" customWidth="1"/>
  </cols>
  <sheetData>
    <row r="3" spans="1:2" x14ac:dyDescent="0.25">
      <c r="A3" s="2" t="s">
        <v>39</v>
      </c>
      <c r="B3" t="s">
        <v>44</v>
      </c>
    </row>
    <row r="4" spans="1:2" x14ac:dyDescent="0.25">
      <c r="A4" s="3" t="s">
        <v>48</v>
      </c>
      <c r="B4" s="6"/>
    </row>
    <row r="5" spans="1:2" x14ac:dyDescent="0.25">
      <c r="A5" s="3" t="s">
        <v>46</v>
      </c>
      <c r="B5" s="6">
        <v>332114.65840000019</v>
      </c>
    </row>
    <row r="6" spans="1:2" x14ac:dyDescent="0.25">
      <c r="A6" s="3" t="s">
        <v>47</v>
      </c>
      <c r="B6" s="6">
        <v>437401.20079999993</v>
      </c>
    </row>
    <row r="7" spans="1:2" x14ac:dyDescent="0.25">
      <c r="A7" s="3" t="s">
        <v>40</v>
      </c>
      <c r="B7" s="6">
        <v>769515.85920000006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37A5F-5A13-48BF-9C3E-2E4C48EEAB45}">
  <dimension ref="A3:B9"/>
  <sheetViews>
    <sheetView topLeftCell="A3" workbookViewId="0">
      <selection activeCell="B5" sqref="B5"/>
    </sheetView>
  </sheetViews>
  <sheetFormatPr defaultRowHeight="13.8" x14ac:dyDescent="0.25"/>
  <cols>
    <col min="1" max="1" width="13.09765625" bestFit="1" customWidth="1"/>
    <col min="2" max="2" width="18.5" bestFit="1" customWidth="1"/>
  </cols>
  <sheetData>
    <row r="3" spans="1:2" x14ac:dyDescent="0.25">
      <c r="A3" s="2" t="s">
        <v>39</v>
      </c>
      <c r="B3" t="s">
        <v>45</v>
      </c>
    </row>
    <row r="4" spans="1:2" x14ac:dyDescent="0.25">
      <c r="A4" s="3" t="s">
        <v>24</v>
      </c>
      <c r="B4" s="6">
        <v>3353.3377099999993</v>
      </c>
    </row>
    <row r="5" spans="1:2" x14ac:dyDescent="0.25">
      <c r="A5" s="3" t="s">
        <v>20</v>
      </c>
      <c r="B5" s="6">
        <v>3222.8548760000012</v>
      </c>
    </row>
    <row r="6" spans="1:2" x14ac:dyDescent="0.25">
      <c r="A6" s="3" t="s">
        <v>13</v>
      </c>
      <c r="B6" s="6">
        <v>2816.0138746666648</v>
      </c>
    </row>
    <row r="7" spans="1:2" x14ac:dyDescent="0.25">
      <c r="A7" s="3" t="s">
        <v>16</v>
      </c>
      <c r="B7" s="6">
        <v>2960.8753586956514</v>
      </c>
    </row>
    <row r="8" spans="1:2" x14ac:dyDescent="0.25">
      <c r="A8" s="3" t="s">
        <v>27</v>
      </c>
      <c r="B8" s="6">
        <v>2850.010896428571</v>
      </c>
    </row>
    <row r="9" spans="1:2" x14ac:dyDescent="0.25">
      <c r="A9" s="3" t="s">
        <v>40</v>
      </c>
      <c r="B9" s="6">
        <v>3029.5899968503945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CDC0-D9E3-417C-B8C1-832EF4594CBD}">
  <dimension ref="A1:J255"/>
  <sheetViews>
    <sheetView topLeftCell="A2" zoomScale="106" workbookViewId="0">
      <selection activeCell="E17" sqref="A1:J255"/>
    </sheetView>
  </sheetViews>
  <sheetFormatPr defaultRowHeight="13.8" x14ac:dyDescent="0.25"/>
  <cols>
    <col min="1" max="2" width="10.296875" customWidth="1"/>
    <col min="3" max="3" width="17.3984375" customWidth="1"/>
    <col min="4" max="4" width="7.296875" style="4" customWidth="1"/>
    <col min="5" max="5" width="10.5" style="4" customWidth="1"/>
    <col min="6" max="6" width="15.5" customWidth="1"/>
    <col min="7" max="7" width="18" customWidth="1"/>
    <col min="8" max="8" width="14.59765625" customWidth="1"/>
    <col min="9" max="9" width="7" customWidth="1"/>
  </cols>
  <sheetData>
    <row r="1" spans="1:10" x14ac:dyDescent="0.25">
      <c r="A1" t="s">
        <v>0</v>
      </c>
      <c r="B1" t="s">
        <v>1</v>
      </c>
      <c r="C1" t="s">
        <v>2</v>
      </c>
      <c r="D1" s="4" t="s">
        <v>3</v>
      </c>
      <c r="E1" s="4" t="s">
        <v>4</v>
      </c>
      <c r="F1" t="s">
        <v>5</v>
      </c>
      <c r="G1" t="s">
        <v>6</v>
      </c>
      <c r="H1" t="s">
        <v>7</v>
      </c>
      <c r="I1" t="s">
        <v>8</v>
      </c>
      <c r="J1" t="s">
        <v>43</v>
      </c>
    </row>
    <row r="2" spans="1:10" x14ac:dyDescent="0.25">
      <c r="A2">
        <v>10452</v>
      </c>
      <c r="B2" s="1">
        <v>44872</v>
      </c>
      <c r="C2" t="s">
        <v>9</v>
      </c>
      <c r="D2" s="4">
        <v>3.49</v>
      </c>
      <c r="E2" s="4">
        <v>573.07000000000005</v>
      </c>
      <c r="F2" t="s">
        <v>10</v>
      </c>
      <c r="G2" t="s">
        <v>11</v>
      </c>
      <c r="H2" t="s">
        <v>12</v>
      </c>
      <c r="I2" t="s">
        <v>13</v>
      </c>
      <c r="J2">
        <f t="shared" ref="J2:J65" si="0">D2*E2</f>
        <v>2000.0143000000003</v>
      </c>
    </row>
    <row r="3" spans="1:10" x14ac:dyDescent="0.25">
      <c r="A3">
        <v>10453</v>
      </c>
      <c r="B3" s="1">
        <v>44872</v>
      </c>
      <c r="C3" t="s">
        <v>14</v>
      </c>
      <c r="D3" s="4">
        <v>2.95</v>
      </c>
      <c r="E3" s="4">
        <v>745.76</v>
      </c>
      <c r="F3" t="s">
        <v>10</v>
      </c>
      <c r="G3" t="s">
        <v>11</v>
      </c>
      <c r="H3" t="s">
        <v>15</v>
      </c>
      <c r="I3" t="s">
        <v>16</v>
      </c>
      <c r="J3">
        <f t="shared" si="0"/>
        <v>2199.9920000000002</v>
      </c>
    </row>
    <row r="4" spans="1:10" x14ac:dyDescent="0.25">
      <c r="A4">
        <v>10454</v>
      </c>
      <c r="B4" s="1">
        <v>44872</v>
      </c>
      <c r="C4" t="s">
        <v>17</v>
      </c>
      <c r="D4" s="4">
        <v>4.99</v>
      </c>
      <c r="E4" s="4">
        <v>200.4</v>
      </c>
      <c r="F4" t="s">
        <v>18</v>
      </c>
      <c r="G4" t="s">
        <v>11</v>
      </c>
      <c r="H4" t="s">
        <v>19</v>
      </c>
      <c r="I4" t="s">
        <v>20</v>
      </c>
      <c r="J4">
        <f t="shared" si="0"/>
        <v>999.99600000000009</v>
      </c>
    </row>
    <row r="5" spans="1:10" x14ac:dyDescent="0.25">
      <c r="A5">
        <v>10455</v>
      </c>
      <c r="B5" s="1">
        <v>44873</v>
      </c>
      <c r="C5" t="s">
        <v>21</v>
      </c>
      <c r="D5" s="4">
        <v>12.99</v>
      </c>
      <c r="E5" s="4">
        <v>569.66999999999996</v>
      </c>
      <c r="F5" t="s">
        <v>18</v>
      </c>
      <c r="G5" t="s">
        <v>22</v>
      </c>
      <c r="H5" t="s">
        <v>23</v>
      </c>
      <c r="I5" t="s">
        <v>24</v>
      </c>
      <c r="J5">
        <f t="shared" si="0"/>
        <v>7400.0132999999996</v>
      </c>
    </row>
    <row r="6" spans="1:10" x14ac:dyDescent="0.25">
      <c r="A6">
        <v>10456</v>
      </c>
      <c r="B6" s="1">
        <v>44873</v>
      </c>
      <c r="C6" t="s">
        <v>25</v>
      </c>
      <c r="D6" s="4">
        <v>9.9499999999999993</v>
      </c>
      <c r="E6" s="4">
        <v>201.01</v>
      </c>
      <c r="F6" t="s">
        <v>18</v>
      </c>
      <c r="G6" t="s">
        <v>22</v>
      </c>
      <c r="H6" t="s">
        <v>23</v>
      </c>
      <c r="I6" t="s">
        <v>24</v>
      </c>
      <c r="J6">
        <f t="shared" si="0"/>
        <v>2000.0494999999999</v>
      </c>
    </row>
    <row r="7" spans="1:10" x14ac:dyDescent="0.25">
      <c r="A7">
        <v>10457</v>
      </c>
      <c r="B7" s="1">
        <v>44873</v>
      </c>
      <c r="C7" t="s">
        <v>9</v>
      </c>
      <c r="D7" s="4">
        <v>3.49</v>
      </c>
      <c r="E7" s="4">
        <v>573.07000000000005</v>
      </c>
      <c r="F7" t="s">
        <v>18</v>
      </c>
      <c r="G7" t="s">
        <v>22</v>
      </c>
      <c r="H7" t="s">
        <v>26</v>
      </c>
      <c r="I7" t="s">
        <v>27</v>
      </c>
      <c r="J7">
        <f t="shared" si="0"/>
        <v>2000.0143000000003</v>
      </c>
    </row>
    <row r="8" spans="1:10" x14ac:dyDescent="0.25">
      <c r="A8">
        <v>10459</v>
      </c>
      <c r="B8" s="1">
        <v>44873</v>
      </c>
      <c r="C8" t="s">
        <v>17</v>
      </c>
      <c r="D8" s="4">
        <v>4.99</v>
      </c>
      <c r="E8" s="4">
        <v>200.4</v>
      </c>
      <c r="F8" t="s">
        <v>18</v>
      </c>
      <c r="G8" t="s">
        <v>22</v>
      </c>
      <c r="H8" t="s">
        <v>23</v>
      </c>
      <c r="I8" t="s">
        <v>24</v>
      </c>
      <c r="J8">
        <f t="shared" si="0"/>
        <v>999.99600000000009</v>
      </c>
    </row>
    <row r="9" spans="1:10" x14ac:dyDescent="0.25">
      <c r="A9">
        <v>10460</v>
      </c>
      <c r="B9" s="1">
        <v>44874</v>
      </c>
      <c r="C9" t="s">
        <v>21</v>
      </c>
      <c r="D9" s="4">
        <v>12.99</v>
      </c>
      <c r="E9" s="4">
        <v>554.27</v>
      </c>
      <c r="F9" t="s">
        <v>18</v>
      </c>
      <c r="G9" t="s">
        <v>22</v>
      </c>
      <c r="H9" t="s">
        <v>28</v>
      </c>
      <c r="I9" t="s">
        <v>27</v>
      </c>
      <c r="J9">
        <f t="shared" si="0"/>
        <v>7199.9673000000003</v>
      </c>
    </row>
    <row r="10" spans="1:10" x14ac:dyDescent="0.25">
      <c r="A10">
        <v>10461</v>
      </c>
      <c r="B10" s="1">
        <v>44874</v>
      </c>
      <c r="C10" t="s">
        <v>25</v>
      </c>
      <c r="D10" s="4">
        <v>9.9499999999999993</v>
      </c>
      <c r="E10" s="4">
        <v>201.01</v>
      </c>
      <c r="F10" t="s">
        <v>18</v>
      </c>
      <c r="G10" t="s">
        <v>22</v>
      </c>
      <c r="H10" t="s">
        <v>28</v>
      </c>
      <c r="I10" t="s">
        <v>27</v>
      </c>
      <c r="J10">
        <f t="shared" si="0"/>
        <v>2000.0494999999999</v>
      </c>
    </row>
    <row r="11" spans="1:10" x14ac:dyDescent="0.25">
      <c r="A11">
        <v>10462</v>
      </c>
      <c r="B11" s="1">
        <v>44874</v>
      </c>
      <c r="C11" t="s">
        <v>9</v>
      </c>
      <c r="D11" s="4">
        <v>3.49</v>
      </c>
      <c r="E11" s="4">
        <v>573.07000000000005</v>
      </c>
      <c r="F11" t="s">
        <v>18</v>
      </c>
      <c r="G11" t="s">
        <v>22</v>
      </c>
      <c r="H11" t="s">
        <v>29</v>
      </c>
      <c r="I11" t="s">
        <v>27</v>
      </c>
      <c r="J11">
        <f t="shared" si="0"/>
        <v>2000.0143000000003</v>
      </c>
    </row>
    <row r="12" spans="1:10" x14ac:dyDescent="0.25">
      <c r="A12">
        <v>10463</v>
      </c>
      <c r="B12" s="1">
        <v>44874</v>
      </c>
      <c r="C12" t="s">
        <v>14</v>
      </c>
      <c r="D12" s="4">
        <v>2.95</v>
      </c>
      <c r="E12" s="4">
        <v>677.97</v>
      </c>
      <c r="F12" t="s">
        <v>18</v>
      </c>
      <c r="G12" t="s">
        <v>22</v>
      </c>
      <c r="H12" t="s">
        <v>29</v>
      </c>
      <c r="I12" t="s">
        <v>27</v>
      </c>
      <c r="J12">
        <f t="shared" si="0"/>
        <v>2000.0115000000003</v>
      </c>
    </row>
    <row r="13" spans="1:10" x14ac:dyDescent="0.25">
      <c r="A13">
        <v>10464</v>
      </c>
      <c r="B13" s="1">
        <v>44874</v>
      </c>
      <c r="C13" t="s">
        <v>17</v>
      </c>
      <c r="D13" s="4">
        <v>4.99</v>
      </c>
      <c r="E13" s="4">
        <v>200.4</v>
      </c>
      <c r="F13" t="s">
        <v>18</v>
      </c>
      <c r="G13" t="s">
        <v>22</v>
      </c>
      <c r="H13" t="s">
        <v>30</v>
      </c>
      <c r="I13" t="s">
        <v>27</v>
      </c>
      <c r="J13">
        <f t="shared" si="0"/>
        <v>999.99600000000009</v>
      </c>
    </row>
    <row r="14" spans="1:10" x14ac:dyDescent="0.25">
      <c r="A14">
        <v>10465</v>
      </c>
      <c r="B14" s="1">
        <v>44875</v>
      </c>
      <c r="C14" t="s">
        <v>21</v>
      </c>
      <c r="D14" s="4">
        <v>12.99</v>
      </c>
      <c r="E14" s="4">
        <v>554.27</v>
      </c>
      <c r="F14" t="s">
        <v>18</v>
      </c>
      <c r="G14" t="s">
        <v>22</v>
      </c>
      <c r="H14" t="s">
        <v>31</v>
      </c>
      <c r="I14" t="s">
        <v>16</v>
      </c>
      <c r="J14">
        <f t="shared" si="0"/>
        <v>7199.9673000000003</v>
      </c>
    </row>
    <row r="15" spans="1:10" x14ac:dyDescent="0.25">
      <c r="A15">
        <v>10466</v>
      </c>
      <c r="B15" s="1">
        <v>44875</v>
      </c>
      <c r="C15" t="s">
        <v>25</v>
      </c>
      <c r="D15" s="4">
        <v>9.9499999999999993</v>
      </c>
      <c r="E15" s="4">
        <v>201.01</v>
      </c>
      <c r="F15" t="s">
        <v>18</v>
      </c>
      <c r="G15" t="s">
        <v>22</v>
      </c>
      <c r="H15" t="s">
        <v>31</v>
      </c>
      <c r="I15" t="s">
        <v>16</v>
      </c>
      <c r="J15">
        <f t="shared" si="0"/>
        <v>2000.0494999999999</v>
      </c>
    </row>
    <row r="16" spans="1:10" x14ac:dyDescent="0.25">
      <c r="A16">
        <v>10467</v>
      </c>
      <c r="B16" s="1">
        <v>44875</v>
      </c>
      <c r="C16" t="s">
        <v>9</v>
      </c>
      <c r="D16" s="4">
        <v>3.49</v>
      </c>
      <c r="E16" s="4">
        <v>573.07000000000005</v>
      </c>
      <c r="F16" t="s">
        <v>18</v>
      </c>
      <c r="G16" t="s">
        <v>22</v>
      </c>
      <c r="H16" t="s">
        <v>31</v>
      </c>
      <c r="I16" t="s">
        <v>16</v>
      </c>
      <c r="J16">
        <f t="shared" si="0"/>
        <v>2000.0143000000003</v>
      </c>
    </row>
    <row r="17" spans="1:10" x14ac:dyDescent="0.25">
      <c r="A17">
        <v>10468</v>
      </c>
      <c r="B17" s="1">
        <v>44875</v>
      </c>
      <c r="C17" t="s">
        <v>14</v>
      </c>
      <c r="D17" s="4">
        <v>2.95</v>
      </c>
      <c r="E17" s="4">
        <v>677.97</v>
      </c>
      <c r="F17" t="s">
        <v>18</v>
      </c>
      <c r="G17" t="s">
        <v>22</v>
      </c>
      <c r="H17" t="s">
        <v>15</v>
      </c>
      <c r="I17" t="s">
        <v>16</v>
      </c>
      <c r="J17">
        <f t="shared" si="0"/>
        <v>2000.0115000000003</v>
      </c>
    </row>
    <row r="18" spans="1:10" x14ac:dyDescent="0.25">
      <c r="A18">
        <v>10470</v>
      </c>
      <c r="B18" s="1">
        <v>44876</v>
      </c>
      <c r="C18" t="s">
        <v>21</v>
      </c>
      <c r="D18" s="4">
        <v>12.99</v>
      </c>
      <c r="E18" s="4">
        <v>554.27</v>
      </c>
      <c r="F18" t="s">
        <v>18</v>
      </c>
      <c r="G18" t="s">
        <v>22</v>
      </c>
      <c r="H18" t="s">
        <v>15</v>
      </c>
      <c r="I18" t="s">
        <v>16</v>
      </c>
      <c r="J18">
        <f t="shared" si="0"/>
        <v>7199.9673000000003</v>
      </c>
    </row>
    <row r="19" spans="1:10" x14ac:dyDescent="0.25">
      <c r="A19">
        <v>10471</v>
      </c>
      <c r="B19" s="1">
        <v>44876</v>
      </c>
      <c r="C19" t="s">
        <v>25</v>
      </c>
      <c r="D19" s="4">
        <v>9.9499999999999993</v>
      </c>
      <c r="E19" s="4">
        <v>201.01</v>
      </c>
      <c r="F19" t="s">
        <v>18</v>
      </c>
      <c r="G19" t="s">
        <v>22</v>
      </c>
      <c r="H19" t="s">
        <v>15</v>
      </c>
      <c r="I19" t="s">
        <v>16</v>
      </c>
      <c r="J19">
        <f t="shared" si="0"/>
        <v>2000.0494999999999</v>
      </c>
    </row>
    <row r="20" spans="1:10" x14ac:dyDescent="0.25">
      <c r="A20">
        <v>10472</v>
      </c>
      <c r="B20" s="1">
        <v>44876</v>
      </c>
      <c r="C20" t="s">
        <v>9</v>
      </c>
      <c r="D20" s="4">
        <v>3.49</v>
      </c>
      <c r="E20" s="4">
        <v>630.37</v>
      </c>
      <c r="F20" t="s">
        <v>18</v>
      </c>
      <c r="G20" t="s">
        <v>22</v>
      </c>
      <c r="H20" t="s">
        <v>32</v>
      </c>
      <c r="I20" t="s">
        <v>16</v>
      </c>
      <c r="J20">
        <f t="shared" si="0"/>
        <v>2199.9913000000001</v>
      </c>
    </row>
    <row r="21" spans="1:10" x14ac:dyDescent="0.25">
      <c r="A21">
        <v>10473</v>
      </c>
      <c r="B21" s="1">
        <v>44876</v>
      </c>
      <c r="C21" t="s">
        <v>14</v>
      </c>
      <c r="D21" s="4">
        <v>2.95</v>
      </c>
      <c r="E21" s="4">
        <v>677.97</v>
      </c>
      <c r="F21" t="s">
        <v>18</v>
      </c>
      <c r="G21" t="s">
        <v>22</v>
      </c>
      <c r="H21" t="s">
        <v>15</v>
      </c>
      <c r="I21" t="s">
        <v>16</v>
      </c>
      <c r="J21">
        <f t="shared" si="0"/>
        <v>2000.0115000000003</v>
      </c>
    </row>
    <row r="22" spans="1:10" x14ac:dyDescent="0.25">
      <c r="A22">
        <v>10474</v>
      </c>
      <c r="B22" s="1">
        <v>44876</v>
      </c>
      <c r="C22" t="s">
        <v>17</v>
      </c>
      <c r="D22" s="4">
        <v>4.99</v>
      </c>
      <c r="E22" s="4">
        <v>200.4</v>
      </c>
      <c r="F22" t="s">
        <v>18</v>
      </c>
      <c r="G22" t="s">
        <v>22</v>
      </c>
      <c r="H22" t="s">
        <v>15</v>
      </c>
      <c r="I22" t="s">
        <v>16</v>
      </c>
      <c r="J22">
        <f t="shared" si="0"/>
        <v>999.99600000000009</v>
      </c>
    </row>
    <row r="23" spans="1:10" x14ac:dyDescent="0.25">
      <c r="A23">
        <v>10475</v>
      </c>
      <c r="B23" s="1">
        <v>44877</v>
      </c>
      <c r="C23" t="s">
        <v>21</v>
      </c>
      <c r="D23" s="4">
        <v>12.99</v>
      </c>
      <c r="E23" s="4">
        <v>523.48</v>
      </c>
      <c r="F23" t="s">
        <v>18</v>
      </c>
      <c r="G23" t="s">
        <v>22</v>
      </c>
      <c r="H23" t="s">
        <v>15</v>
      </c>
      <c r="I23" t="s">
        <v>16</v>
      </c>
      <c r="J23">
        <f t="shared" si="0"/>
        <v>6800.0052000000005</v>
      </c>
    </row>
    <row r="24" spans="1:10" x14ac:dyDescent="0.25">
      <c r="A24">
        <v>10476</v>
      </c>
      <c r="B24" s="1">
        <v>44877</v>
      </c>
      <c r="C24" t="s">
        <v>25</v>
      </c>
      <c r="D24" s="4">
        <v>9.9499999999999993</v>
      </c>
      <c r="E24" s="4">
        <v>201.01</v>
      </c>
      <c r="F24" t="s">
        <v>18</v>
      </c>
      <c r="G24" t="s">
        <v>22</v>
      </c>
      <c r="H24" t="s">
        <v>31</v>
      </c>
      <c r="I24" t="s">
        <v>16</v>
      </c>
      <c r="J24">
        <f t="shared" si="0"/>
        <v>2000.0494999999999</v>
      </c>
    </row>
    <row r="25" spans="1:10" x14ac:dyDescent="0.25">
      <c r="A25">
        <v>10477</v>
      </c>
      <c r="B25" s="1">
        <v>44877</v>
      </c>
      <c r="C25" t="s">
        <v>9</v>
      </c>
      <c r="D25" s="4">
        <v>3.49</v>
      </c>
      <c r="E25" s="4">
        <v>630.37</v>
      </c>
      <c r="F25" t="s">
        <v>18</v>
      </c>
      <c r="G25" t="s">
        <v>22</v>
      </c>
      <c r="H25" t="s">
        <v>33</v>
      </c>
      <c r="I25" t="s">
        <v>16</v>
      </c>
      <c r="J25">
        <f t="shared" si="0"/>
        <v>2199.9913000000001</v>
      </c>
    </row>
    <row r="26" spans="1:10" x14ac:dyDescent="0.25">
      <c r="A26">
        <v>10478</v>
      </c>
      <c r="B26" s="1">
        <v>44877</v>
      </c>
      <c r="C26" t="s">
        <v>14</v>
      </c>
      <c r="D26" s="4">
        <v>2.95</v>
      </c>
      <c r="E26" s="4">
        <v>677.97</v>
      </c>
      <c r="F26" t="s">
        <v>18</v>
      </c>
      <c r="G26" t="s">
        <v>22</v>
      </c>
      <c r="H26" t="s">
        <v>31</v>
      </c>
      <c r="I26" t="s">
        <v>16</v>
      </c>
      <c r="J26">
        <f t="shared" si="0"/>
        <v>2000.0115000000003</v>
      </c>
    </row>
    <row r="27" spans="1:10" x14ac:dyDescent="0.25">
      <c r="A27">
        <v>10479</v>
      </c>
      <c r="B27" s="1">
        <v>44877</v>
      </c>
      <c r="C27" t="s">
        <v>17</v>
      </c>
      <c r="D27" s="4">
        <v>4.99</v>
      </c>
      <c r="E27" s="4">
        <v>200.4</v>
      </c>
      <c r="F27" t="s">
        <v>18</v>
      </c>
      <c r="G27" t="s">
        <v>22</v>
      </c>
      <c r="H27" t="s">
        <v>34</v>
      </c>
      <c r="I27" t="s">
        <v>16</v>
      </c>
      <c r="J27">
        <f t="shared" si="0"/>
        <v>999.99600000000009</v>
      </c>
    </row>
    <row r="28" spans="1:10" x14ac:dyDescent="0.25">
      <c r="A28">
        <v>10480</v>
      </c>
      <c r="B28" s="1">
        <v>44878</v>
      </c>
      <c r="C28" t="s">
        <v>21</v>
      </c>
      <c r="D28" s="4">
        <v>12.99</v>
      </c>
      <c r="E28" s="4">
        <v>508.08</v>
      </c>
      <c r="F28" t="s">
        <v>18</v>
      </c>
      <c r="G28" t="s">
        <v>22</v>
      </c>
      <c r="H28" t="s">
        <v>31</v>
      </c>
      <c r="I28" t="s">
        <v>16</v>
      </c>
      <c r="J28">
        <f t="shared" si="0"/>
        <v>6599.9592000000002</v>
      </c>
    </row>
    <row r="29" spans="1:10" x14ac:dyDescent="0.25">
      <c r="A29">
        <v>10481</v>
      </c>
      <c r="B29" s="1">
        <v>44878</v>
      </c>
      <c r="C29" t="s">
        <v>25</v>
      </c>
      <c r="D29" s="4">
        <v>9.9499999999999993</v>
      </c>
      <c r="E29" s="4">
        <v>201.01</v>
      </c>
      <c r="F29" t="s">
        <v>18</v>
      </c>
      <c r="G29" t="s">
        <v>22</v>
      </c>
      <c r="H29" t="s">
        <v>31</v>
      </c>
      <c r="I29" t="s">
        <v>16</v>
      </c>
      <c r="J29">
        <f t="shared" si="0"/>
        <v>2000.0494999999999</v>
      </c>
    </row>
    <row r="30" spans="1:10" x14ac:dyDescent="0.25">
      <c r="A30">
        <v>10482</v>
      </c>
      <c r="B30" s="1">
        <v>44878</v>
      </c>
      <c r="C30" t="s">
        <v>9</v>
      </c>
      <c r="D30" s="4">
        <v>25.5</v>
      </c>
      <c r="E30" s="4">
        <v>630.37</v>
      </c>
      <c r="F30" t="s">
        <v>18</v>
      </c>
      <c r="G30" t="s">
        <v>22</v>
      </c>
      <c r="H30" t="s">
        <v>35</v>
      </c>
      <c r="I30" t="s">
        <v>20</v>
      </c>
      <c r="J30">
        <f t="shared" si="0"/>
        <v>16074.434999999999</v>
      </c>
    </row>
    <row r="31" spans="1:10" x14ac:dyDescent="0.25">
      <c r="A31">
        <v>10486</v>
      </c>
      <c r="B31" s="1">
        <v>44879</v>
      </c>
      <c r="C31" t="s">
        <v>25</v>
      </c>
      <c r="D31" s="4">
        <v>29.05</v>
      </c>
      <c r="E31" s="4">
        <v>201.01</v>
      </c>
      <c r="F31" t="s">
        <v>18</v>
      </c>
      <c r="G31" t="s">
        <v>22</v>
      </c>
      <c r="H31" t="s">
        <v>19</v>
      </c>
      <c r="I31" t="s">
        <v>20</v>
      </c>
      <c r="J31">
        <f t="shared" si="0"/>
        <v>5839.3405000000002</v>
      </c>
    </row>
    <row r="32" spans="1:10" x14ac:dyDescent="0.25">
      <c r="A32">
        <v>10487</v>
      </c>
      <c r="B32" s="1">
        <v>44879</v>
      </c>
      <c r="C32" t="s">
        <v>9</v>
      </c>
      <c r="D32" s="4">
        <v>3.49</v>
      </c>
      <c r="E32" s="4">
        <v>630.37</v>
      </c>
      <c r="F32" t="s">
        <v>18</v>
      </c>
      <c r="G32" t="s">
        <v>22</v>
      </c>
      <c r="H32" t="s">
        <v>35</v>
      </c>
      <c r="I32" t="s">
        <v>20</v>
      </c>
      <c r="J32">
        <f t="shared" si="0"/>
        <v>2199.9913000000001</v>
      </c>
    </row>
    <row r="33" spans="1:10" x14ac:dyDescent="0.25">
      <c r="A33">
        <v>10488</v>
      </c>
      <c r="B33" s="1">
        <v>44879</v>
      </c>
      <c r="C33" t="s">
        <v>14</v>
      </c>
      <c r="D33" s="4">
        <v>2.95</v>
      </c>
      <c r="E33" s="4">
        <v>677.97</v>
      </c>
      <c r="F33" t="s">
        <v>18</v>
      </c>
      <c r="G33" t="s">
        <v>22</v>
      </c>
      <c r="H33" t="s">
        <v>35</v>
      </c>
      <c r="I33" t="s">
        <v>20</v>
      </c>
      <c r="J33">
        <f t="shared" si="0"/>
        <v>2000.0115000000003</v>
      </c>
    </row>
    <row r="34" spans="1:10" x14ac:dyDescent="0.25">
      <c r="A34">
        <v>10489</v>
      </c>
      <c r="B34" s="1">
        <v>44879</v>
      </c>
      <c r="C34" t="s">
        <v>17</v>
      </c>
      <c r="D34" s="4">
        <v>4.99</v>
      </c>
      <c r="E34" s="4">
        <v>200.4</v>
      </c>
      <c r="F34" t="s">
        <v>18</v>
      </c>
      <c r="G34" t="s">
        <v>22</v>
      </c>
      <c r="H34" t="s">
        <v>31</v>
      </c>
      <c r="I34" t="s">
        <v>16</v>
      </c>
      <c r="J34">
        <f t="shared" si="0"/>
        <v>999.99600000000009</v>
      </c>
    </row>
    <row r="35" spans="1:10" x14ac:dyDescent="0.25">
      <c r="A35">
        <v>10490</v>
      </c>
      <c r="B35" s="1">
        <v>44880</v>
      </c>
      <c r="C35" t="s">
        <v>21</v>
      </c>
      <c r="D35" s="4">
        <v>12.99</v>
      </c>
      <c r="E35" s="4">
        <v>508.08</v>
      </c>
      <c r="F35" t="s">
        <v>18</v>
      </c>
      <c r="G35" t="s">
        <v>22</v>
      </c>
      <c r="H35" t="s">
        <v>31</v>
      </c>
      <c r="I35" t="s">
        <v>16</v>
      </c>
      <c r="J35">
        <f t="shared" si="0"/>
        <v>6599.9592000000002</v>
      </c>
    </row>
    <row r="36" spans="1:10" x14ac:dyDescent="0.25">
      <c r="A36">
        <v>10491</v>
      </c>
      <c r="B36" s="1">
        <v>44880</v>
      </c>
      <c r="C36" t="s">
        <v>25</v>
      </c>
      <c r="D36" s="4">
        <v>9.9499999999999993</v>
      </c>
      <c r="E36" s="4">
        <v>201.01</v>
      </c>
      <c r="F36" t="s">
        <v>18</v>
      </c>
      <c r="G36" t="s">
        <v>22</v>
      </c>
      <c r="H36" t="s">
        <v>31</v>
      </c>
      <c r="I36" t="s">
        <v>16</v>
      </c>
      <c r="J36">
        <f t="shared" si="0"/>
        <v>2000.0494999999999</v>
      </c>
    </row>
    <row r="37" spans="1:10" x14ac:dyDescent="0.25">
      <c r="A37">
        <v>10492</v>
      </c>
      <c r="B37" s="1">
        <v>44880</v>
      </c>
      <c r="C37" t="s">
        <v>9</v>
      </c>
      <c r="D37" s="4">
        <v>3.49</v>
      </c>
      <c r="E37" s="4">
        <v>573.07000000000005</v>
      </c>
      <c r="F37" t="s">
        <v>18</v>
      </c>
      <c r="G37" t="s">
        <v>22</v>
      </c>
      <c r="H37" t="s">
        <v>31</v>
      </c>
      <c r="I37" t="s">
        <v>16</v>
      </c>
      <c r="J37">
        <f t="shared" si="0"/>
        <v>2000.0143000000003</v>
      </c>
    </row>
    <row r="38" spans="1:10" x14ac:dyDescent="0.25">
      <c r="A38">
        <v>10493</v>
      </c>
      <c r="B38" s="1">
        <v>44880</v>
      </c>
      <c r="C38" t="s">
        <v>14</v>
      </c>
      <c r="D38" s="4">
        <v>2.95</v>
      </c>
      <c r="E38" s="4">
        <v>677.97</v>
      </c>
      <c r="F38" t="s">
        <v>18</v>
      </c>
      <c r="G38" t="s">
        <v>22</v>
      </c>
      <c r="H38" t="s">
        <v>31</v>
      </c>
      <c r="I38" t="s">
        <v>16</v>
      </c>
      <c r="J38">
        <f t="shared" si="0"/>
        <v>2000.0115000000003</v>
      </c>
    </row>
    <row r="39" spans="1:10" x14ac:dyDescent="0.25">
      <c r="A39">
        <v>10494</v>
      </c>
      <c r="B39" s="1">
        <v>44880</v>
      </c>
      <c r="C39" t="s">
        <v>17</v>
      </c>
      <c r="D39" s="4">
        <v>4.99</v>
      </c>
      <c r="E39" s="4">
        <v>200.4</v>
      </c>
      <c r="F39" t="s">
        <v>18</v>
      </c>
      <c r="G39" t="s">
        <v>22</v>
      </c>
      <c r="H39" t="s">
        <v>31</v>
      </c>
      <c r="I39" t="s">
        <v>16</v>
      </c>
      <c r="J39">
        <f t="shared" si="0"/>
        <v>999.99600000000009</v>
      </c>
    </row>
    <row r="40" spans="1:10" x14ac:dyDescent="0.25">
      <c r="A40">
        <v>10495</v>
      </c>
      <c r="B40" s="1">
        <v>44881</v>
      </c>
      <c r="C40" t="s">
        <v>21</v>
      </c>
      <c r="D40" s="4">
        <v>12.99</v>
      </c>
      <c r="E40" s="4">
        <v>508.08</v>
      </c>
      <c r="F40" t="s">
        <v>18</v>
      </c>
      <c r="G40" t="s">
        <v>22</v>
      </c>
      <c r="H40" t="s">
        <v>31</v>
      </c>
      <c r="I40" t="s">
        <v>16</v>
      </c>
      <c r="J40">
        <f t="shared" si="0"/>
        <v>6599.9592000000002</v>
      </c>
    </row>
    <row r="41" spans="1:10" x14ac:dyDescent="0.25">
      <c r="A41">
        <v>10496</v>
      </c>
      <c r="B41" s="1">
        <v>44881</v>
      </c>
      <c r="C41" t="s">
        <v>25</v>
      </c>
      <c r="D41" s="4">
        <v>9.9499999999999993</v>
      </c>
      <c r="E41" s="4">
        <v>201.01</v>
      </c>
      <c r="F41" t="s">
        <v>18</v>
      </c>
      <c r="G41" t="s">
        <v>22</v>
      </c>
      <c r="H41" t="s">
        <v>31</v>
      </c>
      <c r="I41" t="s">
        <v>16</v>
      </c>
      <c r="J41">
        <f t="shared" si="0"/>
        <v>2000.0494999999999</v>
      </c>
    </row>
    <row r="42" spans="1:10" x14ac:dyDescent="0.25">
      <c r="A42">
        <v>10497</v>
      </c>
      <c r="B42" s="1">
        <v>44881</v>
      </c>
      <c r="C42" t="s">
        <v>9</v>
      </c>
      <c r="D42" s="4">
        <v>3.49</v>
      </c>
      <c r="E42" s="4">
        <v>573.07000000000005</v>
      </c>
      <c r="F42" t="s">
        <v>18</v>
      </c>
      <c r="G42" t="s">
        <v>22</v>
      </c>
      <c r="H42" t="s">
        <v>31</v>
      </c>
      <c r="I42" t="s">
        <v>16</v>
      </c>
      <c r="J42">
        <f t="shared" si="0"/>
        <v>2000.0143000000003</v>
      </c>
    </row>
    <row r="43" spans="1:10" x14ac:dyDescent="0.25">
      <c r="A43">
        <v>10498</v>
      </c>
      <c r="B43" s="1">
        <v>44881</v>
      </c>
      <c r="C43" t="s">
        <v>14</v>
      </c>
      <c r="D43" s="4">
        <v>2.95</v>
      </c>
      <c r="E43" s="4">
        <v>677.97</v>
      </c>
      <c r="F43" t="s">
        <v>36</v>
      </c>
      <c r="G43" t="s">
        <v>22</v>
      </c>
      <c r="H43" t="s">
        <v>31</v>
      </c>
      <c r="I43" t="s">
        <v>16</v>
      </c>
      <c r="J43">
        <f t="shared" si="0"/>
        <v>2000.0115000000003</v>
      </c>
    </row>
    <row r="44" spans="1:10" x14ac:dyDescent="0.25">
      <c r="A44">
        <v>10499</v>
      </c>
      <c r="B44" s="1">
        <v>44881</v>
      </c>
      <c r="C44" t="s">
        <v>17</v>
      </c>
      <c r="D44" s="4">
        <v>4.99</v>
      </c>
      <c r="E44" s="4">
        <v>200.4</v>
      </c>
      <c r="F44" t="s">
        <v>36</v>
      </c>
      <c r="G44" t="s">
        <v>22</v>
      </c>
      <c r="H44" t="s">
        <v>31</v>
      </c>
      <c r="I44" t="s">
        <v>16</v>
      </c>
      <c r="J44">
        <f t="shared" si="0"/>
        <v>999.99600000000009</v>
      </c>
    </row>
    <row r="45" spans="1:10" x14ac:dyDescent="0.25">
      <c r="A45">
        <v>10500</v>
      </c>
      <c r="B45" s="1">
        <v>44882</v>
      </c>
      <c r="C45" t="s">
        <v>21</v>
      </c>
      <c r="D45" s="4">
        <v>12.99</v>
      </c>
      <c r="E45" s="4">
        <v>523.48</v>
      </c>
      <c r="F45" t="s">
        <v>36</v>
      </c>
      <c r="G45" t="s">
        <v>22</v>
      </c>
      <c r="H45" t="s">
        <v>31</v>
      </c>
      <c r="I45" t="s">
        <v>16</v>
      </c>
      <c r="J45">
        <f t="shared" si="0"/>
        <v>6800.0052000000005</v>
      </c>
    </row>
    <row r="46" spans="1:10" x14ac:dyDescent="0.25">
      <c r="A46">
        <v>10501</v>
      </c>
      <c r="B46" s="1">
        <v>44882</v>
      </c>
      <c r="C46" t="s">
        <v>25</v>
      </c>
      <c r="D46" s="4">
        <v>9.9499999999999993</v>
      </c>
      <c r="E46" s="4">
        <v>201.01</v>
      </c>
      <c r="F46" t="s">
        <v>36</v>
      </c>
      <c r="G46" t="s">
        <v>22</v>
      </c>
      <c r="H46" t="s">
        <v>31</v>
      </c>
      <c r="I46" t="s">
        <v>16</v>
      </c>
      <c r="J46">
        <f t="shared" si="0"/>
        <v>2000.0494999999999</v>
      </c>
    </row>
    <row r="47" spans="1:10" x14ac:dyDescent="0.25">
      <c r="A47">
        <v>10502</v>
      </c>
      <c r="B47" s="1">
        <v>44882</v>
      </c>
      <c r="C47" t="s">
        <v>9</v>
      </c>
      <c r="D47" s="4">
        <v>3.49</v>
      </c>
      <c r="E47" s="4">
        <v>630.37</v>
      </c>
      <c r="F47" t="s">
        <v>36</v>
      </c>
      <c r="G47" t="s">
        <v>22</v>
      </c>
      <c r="H47" t="s">
        <v>31</v>
      </c>
      <c r="I47" t="s">
        <v>16</v>
      </c>
      <c r="J47">
        <f t="shared" si="0"/>
        <v>2199.9913000000001</v>
      </c>
    </row>
    <row r="48" spans="1:10" x14ac:dyDescent="0.25">
      <c r="A48">
        <v>10503</v>
      </c>
      <c r="B48" s="1">
        <v>44882</v>
      </c>
      <c r="C48" t="s">
        <v>14</v>
      </c>
      <c r="D48" s="4">
        <v>2.95</v>
      </c>
      <c r="E48" s="4">
        <v>677.97</v>
      </c>
      <c r="F48" t="s">
        <v>36</v>
      </c>
      <c r="G48" t="s">
        <v>22</v>
      </c>
      <c r="H48" t="s">
        <v>31</v>
      </c>
      <c r="I48" t="s">
        <v>16</v>
      </c>
      <c r="J48">
        <f t="shared" si="0"/>
        <v>2000.0115000000003</v>
      </c>
    </row>
    <row r="49" spans="1:10" x14ac:dyDescent="0.25">
      <c r="A49">
        <v>10504</v>
      </c>
      <c r="B49" s="1">
        <v>44882</v>
      </c>
      <c r="C49" t="s">
        <v>17</v>
      </c>
      <c r="D49" s="4">
        <v>4.99</v>
      </c>
      <c r="E49" s="4">
        <v>200.4</v>
      </c>
      <c r="F49" t="s">
        <v>36</v>
      </c>
      <c r="G49" t="s">
        <v>22</v>
      </c>
      <c r="H49" t="s">
        <v>31</v>
      </c>
      <c r="I49" t="s">
        <v>16</v>
      </c>
      <c r="J49">
        <f t="shared" si="0"/>
        <v>999.99600000000009</v>
      </c>
    </row>
    <row r="50" spans="1:10" x14ac:dyDescent="0.25">
      <c r="A50">
        <v>10505</v>
      </c>
      <c r="B50" s="1">
        <v>44883</v>
      </c>
      <c r="C50" t="s">
        <v>21</v>
      </c>
      <c r="D50" s="4">
        <v>12.99</v>
      </c>
      <c r="E50" s="4">
        <v>538.88</v>
      </c>
      <c r="F50" t="s">
        <v>36</v>
      </c>
      <c r="G50" t="s">
        <v>22</v>
      </c>
      <c r="H50" t="s">
        <v>31</v>
      </c>
      <c r="I50" t="s">
        <v>16</v>
      </c>
      <c r="J50">
        <f t="shared" si="0"/>
        <v>7000.0511999999999</v>
      </c>
    </row>
    <row r="51" spans="1:10" x14ac:dyDescent="0.25">
      <c r="A51">
        <v>10506</v>
      </c>
      <c r="B51" s="1">
        <v>44883</v>
      </c>
      <c r="C51" t="s">
        <v>25</v>
      </c>
      <c r="D51" s="4">
        <v>9.9499999999999993</v>
      </c>
      <c r="E51" s="4">
        <v>201.01</v>
      </c>
      <c r="F51" t="s">
        <v>36</v>
      </c>
      <c r="G51" t="s">
        <v>22</v>
      </c>
      <c r="H51" t="s">
        <v>31</v>
      </c>
      <c r="I51" t="s">
        <v>16</v>
      </c>
      <c r="J51">
        <f t="shared" si="0"/>
        <v>2000.0494999999999</v>
      </c>
    </row>
    <row r="52" spans="1:10" x14ac:dyDescent="0.25">
      <c r="A52">
        <v>10507</v>
      </c>
      <c r="B52" s="1">
        <v>44883</v>
      </c>
      <c r="C52" t="s">
        <v>9</v>
      </c>
      <c r="D52" s="4">
        <v>3.49</v>
      </c>
      <c r="E52" s="4">
        <v>687.68</v>
      </c>
      <c r="F52" t="s">
        <v>36</v>
      </c>
      <c r="G52" t="s">
        <v>22</v>
      </c>
      <c r="H52" t="s">
        <v>31</v>
      </c>
      <c r="I52" t="s">
        <v>16</v>
      </c>
      <c r="J52">
        <f t="shared" si="0"/>
        <v>2400.0032000000001</v>
      </c>
    </row>
    <row r="53" spans="1:10" x14ac:dyDescent="0.25">
      <c r="A53">
        <v>10508</v>
      </c>
      <c r="B53" s="1">
        <v>44883</v>
      </c>
      <c r="C53" t="s">
        <v>14</v>
      </c>
      <c r="D53" s="4">
        <v>2.95</v>
      </c>
      <c r="E53" s="4">
        <v>677.97</v>
      </c>
      <c r="F53" t="s">
        <v>36</v>
      </c>
      <c r="G53" t="s">
        <v>22</v>
      </c>
      <c r="H53" t="s">
        <v>31</v>
      </c>
      <c r="I53" t="s">
        <v>16</v>
      </c>
      <c r="J53">
        <f t="shared" si="0"/>
        <v>2000.0115000000003</v>
      </c>
    </row>
    <row r="54" spans="1:10" x14ac:dyDescent="0.25">
      <c r="A54">
        <v>10509</v>
      </c>
      <c r="B54" s="1">
        <v>44883</v>
      </c>
      <c r="C54" t="s">
        <v>17</v>
      </c>
      <c r="D54" s="4">
        <v>4.99</v>
      </c>
      <c r="E54" s="4">
        <v>200.4</v>
      </c>
      <c r="F54" t="s">
        <v>36</v>
      </c>
      <c r="G54" t="s">
        <v>22</v>
      </c>
      <c r="H54" t="s">
        <v>31</v>
      </c>
      <c r="I54" t="s">
        <v>16</v>
      </c>
      <c r="J54">
        <f t="shared" si="0"/>
        <v>999.99600000000009</v>
      </c>
    </row>
    <row r="55" spans="1:10" x14ac:dyDescent="0.25">
      <c r="A55">
        <v>10510</v>
      </c>
      <c r="B55" s="1">
        <v>44884</v>
      </c>
      <c r="C55" t="s">
        <v>21</v>
      </c>
      <c r="D55" s="4">
        <v>12.99</v>
      </c>
      <c r="E55" s="4">
        <v>508.08</v>
      </c>
      <c r="F55" t="s">
        <v>36</v>
      </c>
      <c r="G55" t="s">
        <v>22</v>
      </c>
      <c r="H55" t="s">
        <v>31</v>
      </c>
      <c r="I55" t="s">
        <v>16</v>
      </c>
      <c r="J55">
        <f t="shared" si="0"/>
        <v>6599.9592000000002</v>
      </c>
    </row>
    <row r="56" spans="1:10" x14ac:dyDescent="0.25">
      <c r="A56">
        <v>10511</v>
      </c>
      <c r="B56" s="1">
        <v>44884</v>
      </c>
      <c r="C56" t="s">
        <v>25</v>
      </c>
      <c r="D56" s="4">
        <v>9.9499999999999993</v>
      </c>
      <c r="E56" s="4">
        <v>201.01</v>
      </c>
      <c r="F56" t="s">
        <v>36</v>
      </c>
      <c r="G56" t="s">
        <v>22</v>
      </c>
      <c r="H56" t="s">
        <v>35</v>
      </c>
      <c r="I56" t="s">
        <v>20</v>
      </c>
      <c r="J56">
        <f t="shared" si="0"/>
        <v>2000.0494999999999</v>
      </c>
    </row>
    <row r="57" spans="1:10" x14ac:dyDescent="0.25">
      <c r="A57">
        <v>10512</v>
      </c>
      <c r="B57" s="1">
        <v>44884</v>
      </c>
      <c r="C57" t="s">
        <v>9</v>
      </c>
      <c r="D57" s="4">
        <v>3.49</v>
      </c>
      <c r="E57" s="4">
        <v>687.68</v>
      </c>
      <c r="F57" t="s">
        <v>36</v>
      </c>
      <c r="G57" t="s">
        <v>22</v>
      </c>
      <c r="H57" t="s">
        <v>35</v>
      </c>
      <c r="I57" t="s">
        <v>20</v>
      </c>
      <c r="J57">
        <f t="shared" si="0"/>
        <v>2400.0032000000001</v>
      </c>
    </row>
    <row r="58" spans="1:10" x14ac:dyDescent="0.25">
      <c r="A58">
        <v>10513</v>
      </c>
      <c r="B58" s="1">
        <v>44884</v>
      </c>
      <c r="C58" t="s">
        <v>14</v>
      </c>
      <c r="D58" s="4">
        <v>2.95</v>
      </c>
      <c r="E58" s="4">
        <v>677.97</v>
      </c>
      <c r="F58" t="s">
        <v>36</v>
      </c>
      <c r="G58" t="s">
        <v>37</v>
      </c>
      <c r="H58" t="s">
        <v>35</v>
      </c>
      <c r="I58" t="s">
        <v>20</v>
      </c>
      <c r="J58">
        <f t="shared" si="0"/>
        <v>2000.0115000000003</v>
      </c>
    </row>
    <row r="59" spans="1:10" x14ac:dyDescent="0.25">
      <c r="A59">
        <v>10514</v>
      </c>
      <c r="B59" s="1">
        <v>44884</v>
      </c>
      <c r="C59" t="s">
        <v>17</v>
      </c>
      <c r="D59" s="4">
        <v>4.99</v>
      </c>
      <c r="E59" s="4">
        <v>200.4</v>
      </c>
      <c r="F59" t="s">
        <v>36</v>
      </c>
      <c r="G59" t="s">
        <v>37</v>
      </c>
      <c r="H59" t="s">
        <v>35</v>
      </c>
      <c r="I59" t="s">
        <v>20</v>
      </c>
      <c r="J59">
        <f t="shared" si="0"/>
        <v>999.99600000000009</v>
      </c>
    </row>
    <row r="60" spans="1:10" x14ac:dyDescent="0.25">
      <c r="A60">
        <v>10515</v>
      </c>
      <c r="B60" s="1">
        <v>44885</v>
      </c>
      <c r="C60" t="s">
        <v>21</v>
      </c>
      <c r="D60" s="4">
        <v>12.99</v>
      </c>
      <c r="E60" s="4">
        <v>477.29</v>
      </c>
      <c r="F60" t="s">
        <v>36</v>
      </c>
      <c r="G60" t="s">
        <v>37</v>
      </c>
      <c r="H60" t="s">
        <v>35</v>
      </c>
      <c r="I60" t="s">
        <v>20</v>
      </c>
      <c r="J60">
        <f t="shared" si="0"/>
        <v>6199.9971000000005</v>
      </c>
    </row>
    <row r="61" spans="1:10" x14ac:dyDescent="0.25">
      <c r="A61">
        <v>10516</v>
      </c>
      <c r="B61" s="1">
        <v>44885</v>
      </c>
      <c r="C61" t="s">
        <v>25</v>
      </c>
      <c r="D61" s="4">
        <v>9.9499999999999993</v>
      </c>
      <c r="E61" s="4">
        <v>201.01</v>
      </c>
      <c r="F61" t="s">
        <v>36</v>
      </c>
      <c r="G61" t="s">
        <v>37</v>
      </c>
      <c r="H61" t="s">
        <v>35</v>
      </c>
      <c r="I61" t="s">
        <v>20</v>
      </c>
      <c r="J61">
        <f t="shared" si="0"/>
        <v>2000.0494999999999</v>
      </c>
    </row>
    <row r="62" spans="1:10" x14ac:dyDescent="0.25">
      <c r="A62">
        <v>10483</v>
      </c>
      <c r="B62" s="1">
        <v>44878</v>
      </c>
      <c r="C62" t="s">
        <v>14</v>
      </c>
      <c r="D62" s="4">
        <v>2.95</v>
      </c>
      <c r="E62" s="4">
        <v>677.97</v>
      </c>
      <c r="F62" t="s">
        <v>18</v>
      </c>
      <c r="G62" t="s">
        <v>22</v>
      </c>
      <c r="H62" t="s">
        <v>19</v>
      </c>
      <c r="I62" t="s">
        <v>20</v>
      </c>
      <c r="J62">
        <f t="shared" si="0"/>
        <v>2000.0115000000003</v>
      </c>
    </row>
    <row r="63" spans="1:10" x14ac:dyDescent="0.25">
      <c r="A63">
        <v>10484</v>
      </c>
      <c r="B63" s="1">
        <v>44878</v>
      </c>
      <c r="C63" t="s">
        <v>17</v>
      </c>
      <c r="D63" s="4">
        <v>4.99</v>
      </c>
      <c r="E63" s="4">
        <v>200.4</v>
      </c>
      <c r="F63" t="s">
        <v>18</v>
      </c>
      <c r="G63" t="s">
        <v>22</v>
      </c>
      <c r="H63" t="s">
        <v>19</v>
      </c>
      <c r="I63" t="s">
        <v>20</v>
      </c>
      <c r="J63">
        <f t="shared" si="0"/>
        <v>999.99600000000009</v>
      </c>
    </row>
    <row r="64" spans="1:10" x14ac:dyDescent="0.25">
      <c r="A64">
        <v>10485</v>
      </c>
      <c r="B64" s="1">
        <v>44879</v>
      </c>
      <c r="C64" t="s">
        <v>21</v>
      </c>
      <c r="D64" s="4">
        <v>12.99</v>
      </c>
      <c r="E64" s="4">
        <v>523.48</v>
      </c>
      <c r="F64" t="s">
        <v>18</v>
      </c>
      <c r="G64" t="s">
        <v>22</v>
      </c>
      <c r="H64" t="s">
        <v>19</v>
      </c>
      <c r="I64" t="s">
        <v>20</v>
      </c>
      <c r="J64">
        <f t="shared" si="0"/>
        <v>6800.0052000000005</v>
      </c>
    </row>
    <row r="65" spans="1:10" x14ac:dyDescent="0.25">
      <c r="A65">
        <v>10520</v>
      </c>
      <c r="B65" s="1">
        <v>44886</v>
      </c>
      <c r="C65" t="s">
        <v>21</v>
      </c>
      <c r="D65" s="4">
        <v>12.99</v>
      </c>
      <c r="E65" s="4">
        <v>492.69</v>
      </c>
      <c r="F65" t="s">
        <v>36</v>
      </c>
      <c r="G65" t="s">
        <v>37</v>
      </c>
      <c r="H65" t="s">
        <v>28</v>
      </c>
      <c r="I65" t="s">
        <v>27</v>
      </c>
      <c r="J65">
        <f t="shared" si="0"/>
        <v>6400.0430999999999</v>
      </c>
    </row>
    <row r="66" spans="1:10" x14ac:dyDescent="0.25">
      <c r="A66">
        <v>10521</v>
      </c>
      <c r="B66" s="1">
        <v>44886</v>
      </c>
      <c r="C66" t="s">
        <v>25</v>
      </c>
      <c r="D66" s="4">
        <v>9.9499999999999993</v>
      </c>
      <c r="E66" s="4">
        <v>201.01</v>
      </c>
      <c r="F66" t="s">
        <v>36</v>
      </c>
      <c r="G66" t="s">
        <v>37</v>
      </c>
      <c r="H66" t="s">
        <v>28</v>
      </c>
      <c r="I66" t="s">
        <v>27</v>
      </c>
      <c r="J66">
        <f t="shared" ref="J66:J129" si="1">D66*E66</f>
        <v>2000.0494999999999</v>
      </c>
    </row>
    <row r="67" spans="1:10" x14ac:dyDescent="0.25">
      <c r="A67">
        <v>10522</v>
      </c>
      <c r="B67" s="1">
        <v>44886</v>
      </c>
      <c r="C67" t="s">
        <v>9</v>
      </c>
      <c r="D67" s="4">
        <v>3.49</v>
      </c>
      <c r="E67" s="4">
        <v>687.68</v>
      </c>
      <c r="F67" t="s">
        <v>36</v>
      </c>
      <c r="G67" t="s">
        <v>37</v>
      </c>
      <c r="H67" t="s">
        <v>28</v>
      </c>
      <c r="I67" t="s">
        <v>27</v>
      </c>
      <c r="J67">
        <f t="shared" si="1"/>
        <v>2400.0032000000001</v>
      </c>
    </row>
    <row r="68" spans="1:10" x14ac:dyDescent="0.25">
      <c r="A68">
        <v>10523</v>
      </c>
      <c r="B68" s="1">
        <v>44886</v>
      </c>
      <c r="C68" t="s">
        <v>14</v>
      </c>
      <c r="D68" s="4">
        <v>2.95</v>
      </c>
      <c r="E68" s="4">
        <v>745.76</v>
      </c>
      <c r="F68" t="s">
        <v>36</v>
      </c>
      <c r="G68" t="s">
        <v>37</v>
      </c>
      <c r="H68" t="s">
        <v>28</v>
      </c>
      <c r="I68" t="s">
        <v>27</v>
      </c>
      <c r="J68">
        <f t="shared" si="1"/>
        <v>2199.9920000000002</v>
      </c>
    </row>
    <row r="69" spans="1:10" x14ac:dyDescent="0.25">
      <c r="A69">
        <v>10524</v>
      </c>
      <c r="B69" s="1">
        <v>44886</v>
      </c>
      <c r="C69" t="s">
        <v>17</v>
      </c>
      <c r="D69" s="4">
        <v>4.99</v>
      </c>
      <c r="E69" s="4">
        <v>200.4</v>
      </c>
      <c r="F69" t="s">
        <v>36</v>
      </c>
      <c r="G69" t="s">
        <v>37</v>
      </c>
      <c r="H69" t="s">
        <v>28</v>
      </c>
      <c r="I69" t="s">
        <v>27</v>
      </c>
      <c r="J69">
        <f t="shared" si="1"/>
        <v>999.99600000000009</v>
      </c>
    </row>
    <row r="70" spans="1:10" x14ac:dyDescent="0.25">
      <c r="A70">
        <v>10525</v>
      </c>
      <c r="B70" s="1">
        <v>44887</v>
      </c>
      <c r="C70" t="s">
        <v>21</v>
      </c>
      <c r="D70" s="4">
        <v>12.99</v>
      </c>
      <c r="E70" s="4">
        <v>461.89</v>
      </c>
      <c r="F70" t="s">
        <v>36</v>
      </c>
      <c r="G70" t="s">
        <v>37</v>
      </c>
      <c r="H70" t="s">
        <v>28</v>
      </c>
      <c r="I70" t="s">
        <v>27</v>
      </c>
      <c r="J70">
        <f t="shared" si="1"/>
        <v>5999.9511000000002</v>
      </c>
    </row>
    <row r="71" spans="1:10" x14ac:dyDescent="0.25">
      <c r="A71">
        <v>10526</v>
      </c>
      <c r="B71" s="1">
        <v>44887</v>
      </c>
      <c r="C71" t="s">
        <v>25</v>
      </c>
      <c r="D71" s="4">
        <v>9.9499999999999993</v>
      </c>
      <c r="E71" s="4">
        <v>201.01</v>
      </c>
      <c r="F71" t="s">
        <v>36</v>
      </c>
      <c r="G71" t="s">
        <v>37</v>
      </c>
      <c r="H71" t="s">
        <v>28</v>
      </c>
      <c r="I71" t="s">
        <v>27</v>
      </c>
      <c r="J71">
        <f t="shared" si="1"/>
        <v>2000.0494999999999</v>
      </c>
    </row>
    <row r="72" spans="1:10" x14ac:dyDescent="0.25">
      <c r="A72">
        <v>10527</v>
      </c>
      <c r="B72" s="1">
        <v>44887</v>
      </c>
      <c r="C72" t="s">
        <v>9</v>
      </c>
      <c r="D72" s="4">
        <v>3.49</v>
      </c>
      <c r="E72" s="4">
        <v>687.68</v>
      </c>
      <c r="F72" t="s">
        <v>36</v>
      </c>
      <c r="G72" t="s">
        <v>37</v>
      </c>
      <c r="H72" t="s">
        <v>28</v>
      </c>
      <c r="I72" t="s">
        <v>27</v>
      </c>
      <c r="J72">
        <f t="shared" si="1"/>
        <v>2400.0032000000001</v>
      </c>
    </row>
    <row r="73" spans="1:10" x14ac:dyDescent="0.25">
      <c r="A73">
        <v>10528</v>
      </c>
      <c r="B73" s="1">
        <v>44887</v>
      </c>
      <c r="C73" t="s">
        <v>14</v>
      </c>
      <c r="D73" s="4">
        <v>2.95</v>
      </c>
      <c r="E73" s="4">
        <v>745.76</v>
      </c>
      <c r="F73" t="s">
        <v>36</v>
      </c>
      <c r="G73" t="s">
        <v>37</v>
      </c>
      <c r="H73" t="s">
        <v>28</v>
      </c>
      <c r="I73" t="s">
        <v>27</v>
      </c>
      <c r="J73">
        <f t="shared" si="1"/>
        <v>2199.9920000000002</v>
      </c>
    </row>
    <row r="74" spans="1:10" x14ac:dyDescent="0.25">
      <c r="A74">
        <v>10529</v>
      </c>
      <c r="B74" s="1">
        <v>44887</v>
      </c>
      <c r="C74" t="s">
        <v>17</v>
      </c>
      <c r="D74" s="4">
        <v>4.99</v>
      </c>
      <c r="E74" s="4">
        <v>200.4</v>
      </c>
      <c r="F74" t="s">
        <v>36</v>
      </c>
      <c r="G74" t="s">
        <v>37</v>
      </c>
      <c r="H74" t="s">
        <v>28</v>
      </c>
      <c r="I74" t="s">
        <v>27</v>
      </c>
      <c r="J74">
        <f t="shared" si="1"/>
        <v>999.99600000000009</v>
      </c>
    </row>
    <row r="75" spans="1:10" x14ac:dyDescent="0.25">
      <c r="A75">
        <v>10530</v>
      </c>
      <c r="B75" s="1">
        <v>44888</v>
      </c>
      <c r="C75" t="s">
        <v>21</v>
      </c>
      <c r="D75" s="4">
        <v>12.99</v>
      </c>
      <c r="E75" s="4">
        <v>477.29</v>
      </c>
      <c r="F75" t="s">
        <v>36</v>
      </c>
      <c r="G75" t="s">
        <v>37</v>
      </c>
      <c r="H75" t="s">
        <v>28</v>
      </c>
      <c r="I75" t="s">
        <v>27</v>
      </c>
      <c r="J75">
        <f t="shared" si="1"/>
        <v>6199.9971000000005</v>
      </c>
    </row>
    <row r="76" spans="1:10" x14ac:dyDescent="0.25">
      <c r="A76">
        <v>10531</v>
      </c>
      <c r="B76" s="1">
        <v>44888</v>
      </c>
      <c r="C76" t="s">
        <v>25</v>
      </c>
      <c r="D76" s="4">
        <v>9.9499999999999993</v>
      </c>
      <c r="E76" s="4">
        <v>201.01</v>
      </c>
      <c r="F76" t="s">
        <v>36</v>
      </c>
      <c r="G76" t="s">
        <v>37</v>
      </c>
      <c r="H76" t="s">
        <v>28</v>
      </c>
      <c r="I76" t="s">
        <v>27</v>
      </c>
      <c r="J76">
        <f t="shared" si="1"/>
        <v>2000.0494999999999</v>
      </c>
    </row>
    <row r="77" spans="1:10" x14ac:dyDescent="0.25">
      <c r="A77">
        <v>10532</v>
      </c>
      <c r="B77" s="1">
        <v>44888</v>
      </c>
      <c r="C77" t="s">
        <v>9</v>
      </c>
      <c r="D77" s="4">
        <v>3.49</v>
      </c>
      <c r="E77" s="4">
        <v>687.68</v>
      </c>
      <c r="F77" t="s">
        <v>36</v>
      </c>
      <c r="G77" t="s">
        <v>37</v>
      </c>
      <c r="H77" t="s">
        <v>35</v>
      </c>
      <c r="I77" t="s">
        <v>20</v>
      </c>
      <c r="J77">
        <f t="shared" si="1"/>
        <v>2400.0032000000001</v>
      </c>
    </row>
    <row r="78" spans="1:10" x14ac:dyDescent="0.25">
      <c r="A78">
        <v>10533</v>
      </c>
      <c r="B78" s="1">
        <v>44888</v>
      </c>
      <c r="C78" t="s">
        <v>14</v>
      </c>
      <c r="D78" s="4">
        <v>2.95</v>
      </c>
      <c r="E78" s="4">
        <v>745.76</v>
      </c>
      <c r="F78" t="s">
        <v>36</v>
      </c>
      <c r="G78" t="s">
        <v>37</v>
      </c>
      <c r="H78" t="s">
        <v>35</v>
      </c>
      <c r="I78" t="s">
        <v>20</v>
      </c>
      <c r="J78">
        <f t="shared" si="1"/>
        <v>2199.9920000000002</v>
      </c>
    </row>
    <row r="79" spans="1:10" x14ac:dyDescent="0.25">
      <c r="A79">
        <v>10534</v>
      </c>
      <c r="B79" s="1">
        <v>44888</v>
      </c>
      <c r="C79" t="s">
        <v>17</v>
      </c>
      <c r="D79" s="4">
        <v>4.99</v>
      </c>
      <c r="E79" s="4">
        <v>200.4</v>
      </c>
      <c r="F79" t="s">
        <v>36</v>
      </c>
      <c r="G79" t="s">
        <v>37</v>
      </c>
      <c r="H79" t="s">
        <v>31</v>
      </c>
      <c r="I79" t="s">
        <v>16</v>
      </c>
      <c r="J79">
        <f t="shared" si="1"/>
        <v>999.99600000000009</v>
      </c>
    </row>
    <row r="80" spans="1:10" x14ac:dyDescent="0.25">
      <c r="A80">
        <v>10535</v>
      </c>
      <c r="B80" s="1">
        <v>44889</v>
      </c>
      <c r="C80" t="s">
        <v>21</v>
      </c>
      <c r="D80" s="4">
        <v>12.99</v>
      </c>
      <c r="E80" s="4">
        <v>477.29</v>
      </c>
      <c r="F80" t="s">
        <v>36</v>
      </c>
      <c r="G80" t="s">
        <v>22</v>
      </c>
      <c r="H80" t="s">
        <v>31</v>
      </c>
      <c r="I80" t="s">
        <v>16</v>
      </c>
      <c r="J80">
        <f t="shared" si="1"/>
        <v>6199.9971000000005</v>
      </c>
    </row>
    <row r="81" spans="1:10" x14ac:dyDescent="0.25">
      <c r="A81">
        <v>10536</v>
      </c>
      <c r="B81" s="1">
        <v>44889</v>
      </c>
      <c r="C81" t="s">
        <v>25</v>
      </c>
      <c r="D81" s="4">
        <v>9.9499999999999993</v>
      </c>
      <c r="E81" s="4">
        <v>201.01</v>
      </c>
      <c r="F81" t="s">
        <v>36</v>
      </c>
      <c r="G81" t="s">
        <v>22</v>
      </c>
      <c r="H81" t="s">
        <v>31</v>
      </c>
      <c r="I81" t="s">
        <v>16</v>
      </c>
      <c r="J81">
        <f t="shared" si="1"/>
        <v>2000.0494999999999</v>
      </c>
    </row>
    <row r="82" spans="1:10" x14ac:dyDescent="0.25">
      <c r="A82">
        <v>10540</v>
      </c>
      <c r="B82" s="1">
        <v>44890</v>
      </c>
      <c r="C82" t="s">
        <v>21</v>
      </c>
      <c r="D82" s="4">
        <v>12.99</v>
      </c>
      <c r="E82" s="4">
        <v>461.89</v>
      </c>
      <c r="F82" t="s">
        <v>36</v>
      </c>
      <c r="G82" t="s">
        <v>22</v>
      </c>
      <c r="H82" t="s">
        <v>31</v>
      </c>
      <c r="I82" t="s">
        <v>16</v>
      </c>
      <c r="J82">
        <f t="shared" si="1"/>
        <v>5999.9511000000002</v>
      </c>
    </row>
    <row r="83" spans="1:10" x14ac:dyDescent="0.25">
      <c r="A83">
        <v>10541</v>
      </c>
      <c r="B83" s="1">
        <v>44890</v>
      </c>
      <c r="C83" t="s">
        <v>25</v>
      </c>
      <c r="D83" s="4">
        <v>9.9499999999999993</v>
      </c>
      <c r="E83" s="4">
        <v>201.01</v>
      </c>
      <c r="F83" t="s">
        <v>36</v>
      </c>
      <c r="G83" t="s">
        <v>22</v>
      </c>
      <c r="H83" t="s">
        <v>38</v>
      </c>
      <c r="I83" t="s">
        <v>13</v>
      </c>
      <c r="J83">
        <f t="shared" si="1"/>
        <v>2000.0494999999999</v>
      </c>
    </row>
    <row r="84" spans="1:10" x14ac:dyDescent="0.25">
      <c r="A84">
        <v>10542</v>
      </c>
      <c r="B84" s="1">
        <v>44890</v>
      </c>
      <c r="C84" t="s">
        <v>9</v>
      </c>
      <c r="D84" s="4">
        <v>3.49</v>
      </c>
      <c r="E84" s="4">
        <v>630.37</v>
      </c>
      <c r="F84" t="s">
        <v>36</v>
      </c>
      <c r="G84" t="s">
        <v>22</v>
      </c>
      <c r="H84" t="s">
        <v>38</v>
      </c>
      <c r="I84" t="s">
        <v>13</v>
      </c>
      <c r="J84">
        <f t="shared" si="1"/>
        <v>2199.9913000000001</v>
      </c>
    </row>
    <row r="85" spans="1:10" x14ac:dyDescent="0.25">
      <c r="A85">
        <v>10543</v>
      </c>
      <c r="B85" s="1">
        <v>44890</v>
      </c>
      <c r="C85" t="s">
        <v>14</v>
      </c>
      <c r="D85" s="4">
        <v>2.95</v>
      </c>
      <c r="E85" s="4">
        <v>745.76</v>
      </c>
      <c r="F85" t="s">
        <v>36</v>
      </c>
      <c r="G85" t="s">
        <v>22</v>
      </c>
      <c r="H85" t="s">
        <v>38</v>
      </c>
      <c r="I85" t="s">
        <v>13</v>
      </c>
      <c r="J85">
        <f t="shared" si="1"/>
        <v>2199.9920000000002</v>
      </c>
    </row>
    <row r="86" spans="1:10" x14ac:dyDescent="0.25">
      <c r="A86">
        <v>10544</v>
      </c>
      <c r="B86" s="1">
        <v>44890</v>
      </c>
      <c r="C86" t="s">
        <v>17</v>
      </c>
      <c r="D86" s="4">
        <v>4.99</v>
      </c>
      <c r="E86" s="4">
        <v>200.4</v>
      </c>
      <c r="F86" t="s">
        <v>36</v>
      </c>
      <c r="G86" t="s">
        <v>22</v>
      </c>
      <c r="H86" t="s">
        <v>38</v>
      </c>
      <c r="I86" t="s">
        <v>13</v>
      </c>
      <c r="J86">
        <f t="shared" si="1"/>
        <v>999.99600000000009</v>
      </c>
    </row>
    <row r="87" spans="1:10" x14ac:dyDescent="0.25">
      <c r="A87">
        <v>10545</v>
      </c>
      <c r="B87" s="1">
        <v>44891</v>
      </c>
      <c r="C87" t="s">
        <v>21</v>
      </c>
      <c r="D87" s="4">
        <v>12.99</v>
      </c>
      <c r="E87" s="4">
        <v>446.5</v>
      </c>
      <c r="F87" t="s">
        <v>36</v>
      </c>
      <c r="G87" t="s">
        <v>22</v>
      </c>
      <c r="H87" t="s">
        <v>38</v>
      </c>
      <c r="I87" t="s">
        <v>13</v>
      </c>
      <c r="J87">
        <f t="shared" si="1"/>
        <v>5800.0349999999999</v>
      </c>
    </row>
    <row r="88" spans="1:10" x14ac:dyDescent="0.25">
      <c r="A88">
        <v>10546</v>
      </c>
      <c r="B88" s="1">
        <v>44891</v>
      </c>
      <c r="C88" t="s">
        <v>25</v>
      </c>
      <c r="D88" s="4">
        <v>9.9499999999999993</v>
      </c>
      <c r="E88" s="4">
        <v>201.01</v>
      </c>
      <c r="F88" t="s">
        <v>36</v>
      </c>
      <c r="G88" t="s">
        <v>22</v>
      </c>
      <c r="H88" t="s">
        <v>38</v>
      </c>
      <c r="I88" t="s">
        <v>13</v>
      </c>
      <c r="J88">
        <f t="shared" si="1"/>
        <v>2000.0494999999999</v>
      </c>
    </row>
    <row r="89" spans="1:10" x14ac:dyDescent="0.25">
      <c r="A89">
        <v>10547</v>
      </c>
      <c r="B89" s="1">
        <v>44891</v>
      </c>
      <c r="C89" t="s">
        <v>9</v>
      </c>
      <c r="D89" s="4">
        <v>3.49</v>
      </c>
      <c r="E89" s="4">
        <v>630.37</v>
      </c>
      <c r="F89" t="s">
        <v>36</v>
      </c>
      <c r="G89" t="s">
        <v>22</v>
      </c>
      <c r="H89" t="s">
        <v>38</v>
      </c>
      <c r="I89" t="s">
        <v>13</v>
      </c>
      <c r="J89">
        <f t="shared" si="1"/>
        <v>2199.9913000000001</v>
      </c>
    </row>
    <row r="90" spans="1:10" x14ac:dyDescent="0.25">
      <c r="A90">
        <v>10548</v>
      </c>
      <c r="B90" s="1">
        <v>44891</v>
      </c>
      <c r="C90" t="s">
        <v>14</v>
      </c>
      <c r="D90" s="4">
        <v>2.95</v>
      </c>
      <c r="E90" s="4">
        <v>745.76</v>
      </c>
      <c r="F90" t="s">
        <v>36</v>
      </c>
      <c r="G90" t="s">
        <v>22</v>
      </c>
      <c r="H90" t="s">
        <v>38</v>
      </c>
      <c r="I90" t="s">
        <v>13</v>
      </c>
      <c r="J90">
        <f t="shared" si="1"/>
        <v>2199.9920000000002</v>
      </c>
    </row>
    <row r="91" spans="1:10" x14ac:dyDescent="0.25">
      <c r="A91">
        <v>10549</v>
      </c>
      <c r="B91" s="1">
        <v>44891</v>
      </c>
      <c r="C91" t="s">
        <v>17</v>
      </c>
      <c r="D91" s="4">
        <v>4.99</v>
      </c>
      <c r="E91" s="4">
        <v>200.4</v>
      </c>
      <c r="F91" t="s">
        <v>36</v>
      </c>
      <c r="G91" t="s">
        <v>22</v>
      </c>
      <c r="H91" t="s">
        <v>38</v>
      </c>
      <c r="I91" t="s">
        <v>13</v>
      </c>
      <c r="J91">
        <f t="shared" si="1"/>
        <v>999.99600000000009</v>
      </c>
    </row>
    <row r="92" spans="1:10" x14ac:dyDescent="0.25">
      <c r="A92">
        <v>10550</v>
      </c>
      <c r="B92" s="1">
        <v>44892</v>
      </c>
      <c r="C92" t="s">
        <v>21</v>
      </c>
      <c r="D92" s="4">
        <v>12.99</v>
      </c>
      <c r="E92" s="4">
        <v>461.89</v>
      </c>
      <c r="F92" t="s">
        <v>36</v>
      </c>
      <c r="G92" t="s">
        <v>22</v>
      </c>
      <c r="H92" t="s">
        <v>38</v>
      </c>
      <c r="I92" t="s">
        <v>13</v>
      </c>
      <c r="J92">
        <f t="shared" si="1"/>
        <v>5999.9511000000002</v>
      </c>
    </row>
    <row r="93" spans="1:10" x14ac:dyDescent="0.25">
      <c r="A93">
        <v>10551</v>
      </c>
      <c r="B93" s="1">
        <v>44892</v>
      </c>
      <c r="C93" t="s">
        <v>25</v>
      </c>
      <c r="D93" s="4">
        <v>9.9499999999999993</v>
      </c>
      <c r="E93" s="4">
        <v>201.01</v>
      </c>
      <c r="F93" t="s">
        <v>36</v>
      </c>
      <c r="G93" t="s">
        <v>22</v>
      </c>
      <c r="H93" t="s">
        <v>38</v>
      </c>
      <c r="I93" t="s">
        <v>13</v>
      </c>
      <c r="J93">
        <f t="shared" si="1"/>
        <v>2000.0494999999999</v>
      </c>
    </row>
    <row r="94" spans="1:10" x14ac:dyDescent="0.25">
      <c r="A94">
        <v>10552</v>
      </c>
      <c r="B94" s="1">
        <v>44892</v>
      </c>
      <c r="C94" t="s">
        <v>9</v>
      </c>
      <c r="D94" s="4">
        <v>3.49</v>
      </c>
      <c r="E94" s="4">
        <v>630.37</v>
      </c>
      <c r="F94" t="s">
        <v>10</v>
      </c>
      <c r="G94" t="s">
        <v>22</v>
      </c>
      <c r="H94" t="s">
        <v>38</v>
      </c>
      <c r="I94" t="s">
        <v>13</v>
      </c>
      <c r="J94">
        <f t="shared" si="1"/>
        <v>2199.9913000000001</v>
      </c>
    </row>
    <row r="95" spans="1:10" x14ac:dyDescent="0.25">
      <c r="A95">
        <v>10553</v>
      </c>
      <c r="B95" s="1">
        <v>44892</v>
      </c>
      <c r="C95" t="s">
        <v>14</v>
      </c>
      <c r="D95" s="4">
        <v>2.95</v>
      </c>
      <c r="E95" s="4">
        <v>745.76</v>
      </c>
      <c r="F95" t="s">
        <v>10</v>
      </c>
      <c r="G95" t="s">
        <v>22</v>
      </c>
      <c r="H95" t="s">
        <v>38</v>
      </c>
      <c r="I95" t="s">
        <v>13</v>
      </c>
      <c r="J95">
        <f t="shared" si="1"/>
        <v>2199.9920000000002</v>
      </c>
    </row>
    <row r="96" spans="1:10" x14ac:dyDescent="0.25">
      <c r="A96">
        <v>10554</v>
      </c>
      <c r="B96" s="1">
        <v>44892</v>
      </c>
      <c r="C96" t="s">
        <v>17</v>
      </c>
      <c r="D96" s="4">
        <v>4.99</v>
      </c>
      <c r="E96" s="4">
        <v>200.4</v>
      </c>
      <c r="F96" t="s">
        <v>10</v>
      </c>
      <c r="G96" t="s">
        <v>22</v>
      </c>
      <c r="H96" t="s">
        <v>38</v>
      </c>
      <c r="I96" t="s">
        <v>13</v>
      </c>
      <c r="J96">
        <f t="shared" si="1"/>
        <v>999.99600000000009</v>
      </c>
    </row>
    <row r="97" spans="1:10" x14ac:dyDescent="0.25">
      <c r="A97">
        <v>10555</v>
      </c>
      <c r="B97" s="1">
        <v>44893</v>
      </c>
      <c r="C97" t="s">
        <v>21</v>
      </c>
      <c r="D97" s="4">
        <v>12.99</v>
      </c>
      <c r="E97" s="4">
        <v>477.29</v>
      </c>
      <c r="F97" t="s">
        <v>10</v>
      </c>
      <c r="G97" t="s">
        <v>22</v>
      </c>
      <c r="H97" t="s">
        <v>38</v>
      </c>
      <c r="I97" t="s">
        <v>13</v>
      </c>
      <c r="J97">
        <f t="shared" si="1"/>
        <v>6199.9971000000005</v>
      </c>
    </row>
    <row r="98" spans="1:10" x14ac:dyDescent="0.25">
      <c r="A98">
        <v>10556</v>
      </c>
      <c r="B98" s="1">
        <v>44893</v>
      </c>
      <c r="C98" t="s">
        <v>25</v>
      </c>
      <c r="D98" s="4">
        <v>9.9499999999999993</v>
      </c>
      <c r="E98" s="4">
        <v>201.01</v>
      </c>
      <c r="F98" t="s">
        <v>10</v>
      </c>
      <c r="G98" t="s">
        <v>22</v>
      </c>
      <c r="H98" t="s">
        <v>38</v>
      </c>
      <c r="I98" t="s">
        <v>13</v>
      </c>
      <c r="J98">
        <f t="shared" si="1"/>
        <v>2000.0494999999999</v>
      </c>
    </row>
    <row r="99" spans="1:10" x14ac:dyDescent="0.25">
      <c r="A99">
        <v>10557</v>
      </c>
      <c r="B99" s="1">
        <v>44893</v>
      </c>
      <c r="C99" t="s">
        <v>9</v>
      </c>
      <c r="D99" s="4">
        <v>3.49</v>
      </c>
      <c r="E99" s="4">
        <v>630.37</v>
      </c>
      <c r="F99" t="s">
        <v>10</v>
      </c>
      <c r="G99" t="s">
        <v>22</v>
      </c>
      <c r="H99" t="s">
        <v>38</v>
      </c>
      <c r="I99" t="s">
        <v>13</v>
      </c>
      <c r="J99">
        <f t="shared" si="1"/>
        <v>2199.9913000000001</v>
      </c>
    </row>
    <row r="100" spans="1:10" x14ac:dyDescent="0.25">
      <c r="A100">
        <v>10558</v>
      </c>
      <c r="B100" s="1">
        <v>44893</v>
      </c>
      <c r="C100" t="s">
        <v>14</v>
      </c>
      <c r="D100" s="4">
        <v>2.95</v>
      </c>
      <c r="E100" s="4">
        <v>677.97</v>
      </c>
      <c r="F100" t="s">
        <v>10</v>
      </c>
      <c r="G100" t="s">
        <v>22</v>
      </c>
      <c r="H100" t="s">
        <v>38</v>
      </c>
      <c r="I100" t="s">
        <v>13</v>
      </c>
      <c r="J100">
        <f t="shared" si="1"/>
        <v>2000.0115000000003</v>
      </c>
    </row>
    <row r="101" spans="1:10" x14ac:dyDescent="0.25">
      <c r="A101">
        <v>10559</v>
      </c>
      <c r="B101" s="1">
        <v>44893</v>
      </c>
      <c r="C101" t="s">
        <v>17</v>
      </c>
      <c r="D101" s="4">
        <v>4.99</v>
      </c>
      <c r="E101" s="4">
        <v>200.4</v>
      </c>
      <c r="F101" t="s">
        <v>10</v>
      </c>
      <c r="G101" t="s">
        <v>22</v>
      </c>
      <c r="H101" t="s">
        <v>38</v>
      </c>
      <c r="I101" t="s">
        <v>13</v>
      </c>
      <c r="J101">
        <f t="shared" si="1"/>
        <v>999.99600000000009</v>
      </c>
    </row>
    <row r="102" spans="1:10" x14ac:dyDescent="0.25">
      <c r="A102">
        <v>10560</v>
      </c>
      <c r="B102" s="1">
        <v>44894</v>
      </c>
      <c r="C102" t="s">
        <v>21</v>
      </c>
      <c r="D102" s="4">
        <v>12.99</v>
      </c>
      <c r="E102" s="4">
        <v>477.29</v>
      </c>
      <c r="F102" t="s">
        <v>10</v>
      </c>
      <c r="G102" t="s">
        <v>22</v>
      </c>
      <c r="H102" t="s">
        <v>38</v>
      </c>
      <c r="I102" t="s">
        <v>13</v>
      </c>
      <c r="J102">
        <f t="shared" si="1"/>
        <v>6199.9971000000005</v>
      </c>
    </row>
    <row r="103" spans="1:10" x14ac:dyDescent="0.25">
      <c r="A103">
        <v>10561</v>
      </c>
      <c r="B103" s="1">
        <v>44894</v>
      </c>
      <c r="C103" t="s">
        <v>25</v>
      </c>
      <c r="D103" s="4">
        <v>9.9499999999999993</v>
      </c>
      <c r="E103" s="4">
        <v>201.01</v>
      </c>
      <c r="F103" t="s">
        <v>10</v>
      </c>
      <c r="G103" t="s">
        <v>22</v>
      </c>
      <c r="H103" t="s">
        <v>38</v>
      </c>
      <c r="I103" t="s">
        <v>13</v>
      </c>
      <c r="J103">
        <f t="shared" si="1"/>
        <v>2000.0494999999999</v>
      </c>
    </row>
    <row r="104" spans="1:10" x14ac:dyDescent="0.25">
      <c r="A104">
        <v>10562</v>
      </c>
      <c r="B104" s="1">
        <v>44894</v>
      </c>
      <c r="C104" t="s">
        <v>9</v>
      </c>
      <c r="D104" s="4">
        <v>3.49</v>
      </c>
      <c r="E104" s="4">
        <v>630.37</v>
      </c>
      <c r="F104" t="s">
        <v>10</v>
      </c>
      <c r="G104" t="s">
        <v>22</v>
      </c>
      <c r="H104" t="s">
        <v>38</v>
      </c>
      <c r="I104" t="s">
        <v>13</v>
      </c>
      <c r="J104">
        <f t="shared" si="1"/>
        <v>2199.9913000000001</v>
      </c>
    </row>
    <row r="105" spans="1:10" x14ac:dyDescent="0.25">
      <c r="A105">
        <v>10563</v>
      </c>
      <c r="B105" s="1">
        <v>44894</v>
      </c>
      <c r="C105" t="s">
        <v>14</v>
      </c>
      <c r="D105" s="4">
        <v>2.95</v>
      </c>
      <c r="E105" s="4">
        <v>677.97</v>
      </c>
      <c r="F105" t="s">
        <v>10</v>
      </c>
      <c r="G105" t="s">
        <v>22</v>
      </c>
      <c r="H105" t="s">
        <v>38</v>
      </c>
      <c r="I105" t="s">
        <v>13</v>
      </c>
      <c r="J105">
        <f t="shared" si="1"/>
        <v>2000.0115000000003</v>
      </c>
    </row>
    <row r="106" spans="1:10" x14ac:dyDescent="0.25">
      <c r="A106">
        <v>10564</v>
      </c>
      <c r="B106" s="1">
        <v>44894</v>
      </c>
      <c r="C106" t="s">
        <v>17</v>
      </c>
      <c r="D106" s="4">
        <v>4.99</v>
      </c>
      <c r="E106" s="4">
        <v>200.4</v>
      </c>
      <c r="F106" t="s">
        <v>10</v>
      </c>
      <c r="G106" t="s">
        <v>22</v>
      </c>
      <c r="H106" t="s">
        <v>38</v>
      </c>
      <c r="I106" t="s">
        <v>13</v>
      </c>
      <c r="J106">
        <f t="shared" si="1"/>
        <v>999.99600000000009</v>
      </c>
    </row>
    <row r="107" spans="1:10" x14ac:dyDescent="0.25">
      <c r="A107">
        <v>10565</v>
      </c>
      <c r="B107" s="1">
        <v>44895</v>
      </c>
      <c r="C107" t="s">
        <v>21</v>
      </c>
      <c r="D107" s="4">
        <v>12.99</v>
      </c>
      <c r="E107" s="4">
        <v>492.69</v>
      </c>
      <c r="F107" t="s">
        <v>10</v>
      </c>
      <c r="G107" t="s">
        <v>22</v>
      </c>
      <c r="H107" t="s">
        <v>38</v>
      </c>
      <c r="I107" t="s">
        <v>13</v>
      </c>
      <c r="J107">
        <f t="shared" si="1"/>
        <v>6400.0430999999999</v>
      </c>
    </row>
    <row r="108" spans="1:10" x14ac:dyDescent="0.25">
      <c r="A108">
        <v>10566</v>
      </c>
      <c r="B108" s="1">
        <v>44895</v>
      </c>
      <c r="C108" t="s">
        <v>25</v>
      </c>
      <c r="D108" s="4">
        <v>9.9499999999999993</v>
      </c>
      <c r="E108" s="4">
        <v>201.01</v>
      </c>
      <c r="F108" t="s">
        <v>10</v>
      </c>
      <c r="G108" t="s">
        <v>22</v>
      </c>
      <c r="H108" t="s">
        <v>38</v>
      </c>
      <c r="I108" t="s">
        <v>13</v>
      </c>
      <c r="J108">
        <f t="shared" si="1"/>
        <v>2000.0494999999999</v>
      </c>
    </row>
    <row r="109" spans="1:10" x14ac:dyDescent="0.25">
      <c r="A109">
        <v>10567</v>
      </c>
      <c r="B109" s="1">
        <v>44895</v>
      </c>
      <c r="C109" t="s">
        <v>9</v>
      </c>
      <c r="D109" s="4">
        <v>3.49</v>
      </c>
      <c r="E109" s="4">
        <v>630.37</v>
      </c>
      <c r="F109" t="s">
        <v>10</v>
      </c>
      <c r="G109" t="s">
        <v>22</v>
      </c>
      <c r="H109" t="s">
        <v>38</v>
      </c>
      <c r="I109" t="s">
        <v>13</v>
      </c>
      <c r="J109">
        <f t="shared" si="1"/>
        <v>2199.9913000000001</v>
      </c>
    </row>
    <row r="110" spans="1:10" x14ac:dyDescent="0.25">
      <c r="A110">
        <v>10568</v>
      </c>
      <c r="B110" s="1">
        <v>44895</v>
      </c>
      <c r="C110" t="s">
        <v>14</v>
      </c>
      <c r="D110" s="4">
        <v>2.95</v>
      </c>
      <c r="E110" s="4">
        <v>677.97</v>
      </c>
      <c r="F110" t="s">
        <v>10</v>
      </c>
      <c r="G110" t="s">
        <v>22</v>
      </c>
      <c r="H110" t="s">
        <v>38</v>
      </c>
      <c r="I110" t="s">
        <v>13</v>
      </c>
      <c r="J110">
        <f t="shared" si="1"/>
        <v>2000.0115000000003</v>
      </c>
    </row>
    <row r="111" spans="1:10" x14ac:dyDescent="0.25">
      <c r="A111">
        <v>10569</v>
      </c>
      <c r="B111" s="1">
        <v>44895</v>
      </c>
      <c r="C111" t="s">
        <v>17</v>
      </c>
      <c r="D111" s="4">
        <v>4.99</v>
      </c>
      <c r="E111" s="4">
        <v>200.4</v>
      </c>
      <c r="F111" t="s">
        <v>10</v>
      </c>
      <c r="G111" t="s">
        <v>22</v>
      </c>
      <c r="H111" t="s">
        <v>38</v>
      </c>
      <c r="I111" t="s">
        <v>13</v>
      </c>
      <c r="J111">
        <f t="shared" si="1"/>
        <v>999.99600000000009</v>
      </c>
    </row>
    <row r="112" spans="1:10" x14ac:dyDescent="0.25">
      <c r="A112">
        <v>10570</v>
      </c>
      <c r="B112" s="1">
        <v>44896</v>
      </c>
      <c r="C112" t="s">
        <v>21</v>
      </c>
      <c r="D112" s="4">
        <v>12.99</v>
      </c>
      <c r="E112" s="4">
        <v>492.69</v>
      </c>
      <c r="F112" t="s">
        <v>10</v>
      </c>
      <c r="G112" t="s">
        <v>22</v>
      </c>
      <c r="H112" t="s">
        <v>38</v>
      </c>
      <c r="I112" t="s">
        <v>13</v>
      </c>
      <c r="J112">
        <f t="shared" si="1"/>
        <v>6400.0430999999999</v>
      </c>
    </row>
    <row r="113" spans="1:10" x14ac:dyDescent="0.25">
      <c r="A113">
        <v>10571</v>
      </c>
      <c r="B113" s="1">
        <v>44896</v>
      </c>
      <c r="C113" t="s">
        <v>25</v>
      </c>
      <c r="D113" s="4">
        <v>9.9499999999999993</v>
      </c>
      <c r="E113" s="4">
        <v>201.01</v>
      </c>
      <c r="F113" t="s">
        <v>10</v>
      </c>
      <c r="G113" t="s">
        <v>22</v>
      </c>
      <c r="H113" t="s">
        <v>38</v>
      </c>
      <c r="I113" t="s">
        <v>13</v>
      </c>
      <c r="J113">
        <f t="shared" si="1"/>
        <v>2000.0494999999999</v>
      </c>
    </row>
    <row r="114" spans="1:10" x14ac:dyDescent="0.25">
      <c r="A114">
        <v>10572</v>
      </c>
      <c r="B114" s="1">
        <v>44896</v>
      </c>
      <c r="C114" t="s">
        <v>9</v>
      </c>
      <c r="D114" s="4">
        <v>3.49</v>
      </c>
      <c r="E114" s="4">
        <v>573.07000000000005</v>
      </c>
      <c r="F114" t="s">
        <v>10</v>
      </c>
      <c r="G114" t="s">
        <v>22</v>
      </c>
      <c r="H114" t="s">
        <v>28</v>
      </c>
      <c r="I114" t="s">
        <v>27</v>
      </c>
      <c r="J114">
        <f t="shared" si="1"/>
        <v>2000.0143000000003</v>
      </c>
    </row>
    <row r="115" spans="1:10" x14ac:dyDescent="0.25">
      <c r="A115">
        <v>10573</v>
      </c>
      <c r="B115" s="1">
        <v>44896</v>
      </c>
      <c r="C115" t="s">
        <v>14</v>
      </c>
      <c r="D115" s="4">
        <v>2.95</v>
      </c>
      <c r="E115" s="4">
        <v>677.97</v>
      </c>
      <c r="F115" t="s">
        <v>10</v>
      </c>
      <c r="G115" t="s">
        <v>22</v>
      </c>
      <c r="H115" t="s">
        <v>28</v>
      </c>
      <c r="I115" t="s">
        <v>27</v>
      </c>
      <c r="J115">
        <f t="shared" si="1"/>
        <v>2000.0115000000003</v>
      </c>
    </row>
    <row r="116" spans="1:10" x14ac:dyDescent="0.25">
      <c r="A116">
        <v>10574</v>
      </c>
      <c r="B116" s="1">
        <v>44896</v>
      </c>
      <c r="C116" t="s">
        <v>17</v>
      </c>
      <c r="D116" s="4">
        <v>4.99</v>
      </c>
      <c r="E116" s="4">
        <v>200.4</v>
      </c>
      <c r="F116" t="s">
        <v>10</v>
      </c>
      <c r="G116" t="s">
        <v>22</v>
      </c>
      <c r="H116" t="s">
        <v>28</v>
      </c>
      <c r="I116" t="s">
        <v>27</v>
      </c>
      <c r="J116">
        <f t="shared" si="1"/>
        <v>999.99600000000009</v>
      </c>
    </row>
    <row r="117" spans="1:10" x14ac:dyDescent="0.25">
      <c r="A117">
        <v>10575</v>
      </c>
      <c r="B117" s="1">
        <v>44897</v>
      </c>
      <c r="C117" t="s">
        <v>21</v>
      </c>
      <c r="D117" s="4">
        <v>12.99</v>
      </c>
      <c r="E117" s="4">
        <v>523.48</v>
      </c>
      <c r="F117" t="s">
        <v>10</v>
      </c>
      <c r="G117" t="s">
        <v>22</v>
      </c>
      <c r="H117" t="s">
        <v>28</v>
      </c>
      <c r="I117" t="s">
        <v>27</v>
      </c>
      <c r="J117">
        <f t="shared" si="1"/>
        <v>6800.0052000000005</v>
      </c>
    </row>
    <row r="118" spans="1:10" x14ac:dyDescent="0.25">
      <c r="A118">
        <v>10576</v>
      </c>
      <c r="B118" s="1">
        <v>44897</v>
      </c>
      <c r="C118" t="s">
        <v>25</v>
      </c>
      <c r="D118" s="4">
        <v>9.9499999999999993</v>
      </c>
      <c r="E118" s="4">
        <v>201.01</v>
      </c>
      <c r="F118" t="s">
        <v>10</v>
      </c>
      <c r="G118" t="s">
        <v>22</v>
      </c>
      <c r="H118" t="s">
        <v>28</v>
      </c>
      <c r="I118" t="s">
        <v>27</v>
      </c>
      <c r="J118">
        <f t="shared" si="1"/>
        <v>2000.0494999999999</v>
      </c>
    </row>
    <row r="119" spans="1:10" x14ac:dyDescent="0.25">
      <c r="A119">
        <v>10577</v>
      </c>
      <c r="B119" s="1">
        <v>44897</v>
      </c>
      <c r="C119" t="s">
        <v>9</v>
      </c>
      <c r="D119" s="4">
        <v>3.49</v>
      </c>
      <c r="E119" s="4">
        <v>630.37</v>
      </c>
      <c r="F119" t="s">
        <v>10</v>
      </c>
      <c r="G119" t="s">
        <v>22</v>
      </c>
      <c r="H119" t="s">
        <v>28</v>
      </c>
      <c r="I119" t="s">
        <v>27</v>
      </c>
      <c r="J119">
        <f t="shared" si="1"/>
        <v>2199.9913000000001</v>
      </c>
    </row>
    <row r="120" spans="1:10" x14ac:dyDescent="0.25">
      <c r="A120">
        <v>10578</v>
      </c>
      <c r="B120" s="1">
        <v>44897</v>
      </c>
      <c r="C120" t="s">
        <v>14</v>
      </c>
      <c r="D120" s="4">
        <v>2.95</v>
      </c>
      <c r="E120" s="4">
        <v>677.97</v>
      </c>
      <c r="F120" t="s">
        <v>10</v>
      </c>
      <c r="G120" t="s">
        <v>22</v>
      </c>
      <c r="H120" t="s">
        <v>28</v>
      </c>
      <c r="I120" t="s">
        <v>27</v>
      </c>
      <c r="J120">
        <f t="shared" si="1"/>
        <v>2000.0115000000003</v>
      </c>
    </row>
    <row r="121" spans="1:10" x14ac:dyDescent="0.25">
      <c r="A121">
        <v>10579</v>
      </c>
      <c r="B121" s="1">
        <v>44897</v>
      </c>
      <c r="C121" t="s">
        <v>17</v>
      </c>
      <c r="D121" s="4">
        <v>4.99</v>
      </c>
      <c r="E121" s="4">
        <v>200.4</v>
      </c>
      <c r="F121" t="s">
        <v>10</v>
      </c>
      <c r="G121" t="s">
        <v>22</v>
      </c>
      <c r="H121" t="s">
        <v>28</v>
      </c>
      <c r="I121" t="s">
        <v>27</v>
      </c>
      <c r="J121">
        <f t="shared" si="1"/>
        <v>999.99600000000009</v>
      </c>
    </row>
    <row r="122" spans="1:10" x14ac:dyDescent="0.25">
      <c r="A122">
        <v>10580</v>
      </c>
      <c r="B122" s="1">
        <v>44898</v>
      </c>
      <c r="C122" t="s">
        <v>21</v>
      </c>
      <c r="D122" s="4">
        <v>12.99</v>
      </c>
      <c r="E122" s="4">
        <v>523.48</v>
      </c>
      <c r="F122" t="s">
        <v>10</v>
      </c>
      <c r="G122" t="s">
        <v>22</v>
      </c>
      <c r="H122" t="s">
        <v>28</v>
      </c>
      <c r="I122" t="s">
        <v>27</v>
      </c>
      <c r="J122">
        <f t="shared" si="1"/>
        <v>6800.0052000000005</v>
      </c>
    </row>
    <row r="123" spans="1:10" x14ac:dyDescent="0.25">
      <c r="A123">
        <v>10581</v>
      </c>
      <c r="B123" s="1">
        <v>44898</v>
      </c>
      <c r="C123" t="s">
        <v>25</v>
      </c>
      <c r="D123" s="4">
        <v>9.9499999999999993</v>
      </c>
      <c r="E123" s="4">
        <v>201.01</v>
      </c>
      <c r="F123" t="s">
        <v>10</v>
      </c>
      <c r="G123" t="s">
        <v>22</v>
      </c>
      <c r="H123" t="s">
        <v>28</v>
      </c>
      <c r="I123" t="s">
        <v>27</v>
      </c>
      <c r="J123">
        <f t="shared" si="1"/>
        <v>2000.0494999999999</v>
      </c>
    </row>
    <row r="124" spans="1:10" x14ac:dyDescent="0.25">
      <c r="A124">
        <v>10582</v>
      </c>
      <c r="B124" s="1">
        <v>44898</v>
      </c>
      <c r="C124" t="s">
        <v>9</v>
      </c>
      <c r="D124" s="4">
        <v>3.49</v>
      </c>
      <c r="E124" s="4">
        <v>630.37</v>
      </c>
      <c r="F124" t="s">
        <v>10</v>
      </c>
      <c r="G124" t="s">
        <v>22</v>
      </c>
      <c r="H124" t="s">
        <v>38</v>
      </c>
      <c r="I124" t="s">
        <v>13</v>
      </c>
      <c r="J124">
        <f t="shared" si="1"/>
        <v>2199.9913000000001</v>
      </c>
    </row>
    <row r="125" spans="1:10" x14ac:dyDescent="0.25">
      <c r="A125">
        <v>10583</v>
      </c>
      <c r="B125" s="1">
        <v>44898</v>
      </c>
      <c r="C125" t="s">
        <v>14</v>
      </c>
      <c r="D125" s="4">
        <v>2.95</v>
      </c>
      <c r="E125" s="4">
        <v>677.97</v>
      </c>
      <c r="F125" t="s">
        <v>10</v>
      </c>
      <c r="G125" t="s">
        <v>22</v>
      </c>
      <c r="H125" t="s">
        <v>38</v>
      </c>
      <c r="I125" t="s">
        <v>13</v>
      </c>
      <c r="J125">
        <f t="shared" si="1"/>
        <v>2000.0115000000003</v>
      </c>
    </row>
    <row r="126" spans="1:10" x14ac:dyDescent="0.25">
      <c r="A126">
        <v>10584</v>
      </c>
      <c r="B126" s="1">
        <v>44898</v>
      </c>
      <c r="C126" t="s">
        <v>17</v>
      </c>
      <c r="D126" s="4">
        <v>4.99</v>
      </c>
      <c r="E126" s="4">
        <v>200.4</v>
      </c>
      <c r="F126" t="s">
        <v>10</v>
      </c>
      <c r="G126" t="s">
        <v>22</v>
      </c>
      <c r="H126" t="s">
        <v>38</v>
      </c>
      <c r="I126" t="s">
        <v>13</v>
      </c>
      <c r="J126">
        <f t="shared" si="1"/>
        <v>999.99600000000009</v>
      </c>
    </row>
    <row r="127" spans="1:10" x14ac:dyDescent="0.25">
      <c r="A127">
        <v>10585</v>
      </c>
      <c r="B127" s="1">
        <v>44899</v>
      </c>
      <c r="C127" t="s">
        <v>21</v>
      </c>
      <c r="D127" s="4">
        <v>12.99</v>
      </c>
      <c r="E127" s="4">
        <v>538.88</v>
      </c>
      <c r="F127" t="s">
        <v>10</v>
      </c>
      <c r="G127" t="s">
        <v>22</v>
      </c>
      <c r="H127" t="s">
        <v>38</v>
      </c>
      <c r="I127" t="s">
        <v>13</v>
      </c>
      <c r="J127">
        <f t="shared" si="1"/>
        <v>7000.0511999999999</v>
      </c>
    </row>
    <row r="128" spans="1:10" x14ac:dyDescent="0.25">
      <c r="A128">
        <v>10586</v>
      </c>
      <c r="B128" s="1">
        <v>44899</v>
      </c>
      <c r="C128" t="s">
        <v>25</v>
      </c>
      <c r="D128" s="4">
        <v>9.9499999999999993</v>
      </c>
      <c r="E128" s="4">
        <v>201.01</v>
      </c>
      <c r="F128" t="s">
        <v>10</v>
      </c>
      <c r="G128" t="s">
        <v>22</v>
      </c>
      <c r="H128" t="s">
        <v>38</v>
      </c>
      <c r="I128" t="s">
        <v>13</v>
      </c>
      <c r="J128">
        <f t="shared" si="1"/>
        <v>2000.0494999999999</v>
      </c>
    </row>
    <row r="129" spans="1:10" x14ac:dyDescent="0.25">
      <c r="A129">
        <v>10537</v>
      </c>
      <c r="B129" s="1">
        <v>44889</v>
      </c>
      <c r="C129" t="s">
        <v>9</v>
      </c>
      <c r="D129" s="4">
        <v>3.49</v>
      </c>
      <c r="E129" s="4">
        <v>630.37</v>
      </c>
      <c r="F129" t="s">
        <v>36</v>
      </c>
      <c r="G129" t="s">
        <v>22</v>
      </c>
      <c r="H129" t="s">
        <v>31</v>
      </c>
      <c r="I129" t="s">
        <v>16</v>
      </c>
      <c r="J129">
        <f t="shared" si="1"/>
        <v>2199.9913000000001</v>
      </c>
    </row>
    <row r="130" spans="1:10" x14ac:dyDescent="0.25">
      <c r="A130">
        <v>10538</v>
      </c>
      <c r="B130" s="1">
        <v>44889</v>
      </c>
      <c r="C130" t="s">
        <v>14</v>
      </c>
      <c r="D130" s="4">
        <v>2.95</v>
      </c>
      <c r="E130" s="4">
        <v>745.76</v>
      </c>
      <c r="F130" t="s">
        <v>36</v>
      </c>
      <c r="G130" t="s">
        <v>22</v>
      </c>
      <c r="H130" t="s">
        <v>31</v>
      </c>
      <c r="I130" t="s">
        <v>16</v>
      </c>
      <c r="J130">
        <f t="shared" ref="J130:J193" si="2">D130*E130</f>
        <v>2199.9920000000002</v>
      </c>
    </row>
    <row r="131" spans="1:10" x14ac:dyDescent="0.25">
      <c r="A131">
        <v>10539</v>
      </c>
      <c r="B131" s="1">
        <v>44889</v>
      </c>
      <c r="C131" t="s">
        <v>17</v>
      </c>
      <c r="D131" s="4">
        <v>4.99</v>
      </c>
      <c r="E131" s="4">
        <v>200.4</v>
      </c>
      <c r="F131" t="s">
        <v>36</v>
      </c>
      <c r="G131" t="s">
        <v>22</v>
      </c>
      <c r="H131" t="s">
        <v>31</v>
      </c>
      <c r="I131" t="s">
        <v>16</v>
      </c>
      <c r="J131">
        <f t="shared" si="2"/>
        <v>999.99600000000009</v>
      </c>
    </row>
    <row r="132" spans="1:10" x14ac:dyDescent="0.25">
      <c r="A132">
        <v>10590</v>
      </c>
      <c r="B132" s="1">
        <v>44900</v>
      </c>
      <c r="C132" t="s">
        <v>21</v>
      </c>
      <c r="D132" s="4">
        <v>12.99</v>
      </c>
      <c r="E132" s="4">
        <v>554.27</v>
      </c>
      <c r="F132" t="s">
        <v>10</v>
      </c>
      <c r="G132" t="s">
        <v>22</v>
      </c>
      <c r="H132" t="s">
        <v>38</v>
      </c>
      <c r="I132" t="s">
        <v>13</v>
      </c>
      <c r="J132">
        <f t="shared" si="2"/>
        <v>7199.9673000000003</v>
      </c>
    </row>
    <row r="133" spans="1:10" x14ac:dyDescent="0.25">
      <c r="A133">
        <v>10591</v>
      </c>
      <c r="B133" s="1">
        <v>44900</v>
      </c>
      <c r="C133" t="s">
        <v>25</v>
      </c>
      <c r="D133" s="4">
        <v>9.9499999999999993</v>
      </c>
      <c r="E133" s="4">
        <v>201.01</v>
      </c>
      <c r="F133" t="s">
        <v>10</v>
      </c>
      <c r="G133" t="s">
        <v>22</v>
      </c>
      <c r="H133" t="s">
        <v>38</v>
      </c>
      <c r="I133" t="s">
        <v>13</v>
      </c>
      <c r="J133">
        <f t="shared" si="2"/>
        <v>2000.0494999999999</v>
      </c>
    </row>
    <row r="134" spans="1:10" x14ac:dyDescent="0.25">
      <c r="A134">
        <v>10592</v>
      </c>
      <c r="B134" s="1">
        <v>44900</v>
      </c>
      <c r="C134" t="s">
        <v>9</v>
      </c>
      <c r="D134" s="4">
        <v>3.49</v>
      </c>
      <c r="E134" s="4">
        <v>573.07000000000005</v>
      </c>
      <c r="F134" t="s">
        <v>10</v>
      </c>
      <c r="G134" t="s">
        <v>22</v>
      </c>
      <c r="H134" t="s">
        <v>38</v>
      </c>
      <c r="I134" t="s">
        <v>13</v>
      </c>
      <c r="J134">
        <f t="shared" si="2"/>
        <v>2000.0143000000003</v>
      </c>
    </row>
    <row r="135" spans="1:10" x14ac:dyDescent="0.25">
      <c r="A135">
        <v>10593</v>
      </c>
      <c r="B135" s="1">
        <v>44900</v>
      </c>
      <c r="C135" t="s">
        <v>14</v>
      </c>
      <c r="D135" s="4">
        <v>2.95</v>
      </c>
      <c r="E135" s="4">
        <v>677.97</v>
      </c>
      <c r="F135" t="s">
        <v>10</v>
      </c>
      <c r="G135" t="s">
        <v>22</v>
      </c>
      <c r="H135" t="s">
        <v>38</v>
      </c>
      <c r="I135" t="s">
        <v>13</v>
      </c>
      <c r="J135">
        <f t="shared" si="2"/>
        <v>2000.0115000000003</v>
      </c>
    </row>
    <row r="136" spans="1:10" x14ac:dyDescent="0.25">
      <c r="A136">
        <v>10594</v>
      </c>
      <c r="B136" s="1">
        <v>44900</v>
      </c>
      <c r="C136" t="s">
        <v>17</v>
      </c>
      <c r="D136" s="4">
        <v>4.99</v>
      </c>
      <c r="E136" s="4">
        <v>200.4</v>
      </c>
      <c r="F136" t="s">
        <v>10</v>
      </c>
      <c r="G136" t="s">
        <v>22</v>
      </c>
      <c r="H136" t="s">
        <v>38</v>
      </c>
      <c r="I136" t="s">
        <v>13</v>
      </c>
      <c r="J136">
        <f t="shared" si="2"/>
        <v>999.99600000000009</v>
      </c>
    </row>
    <row r="137" spans="1:10" x14ac:dyDescent="0.25">
      <c r="A137">
        <v>10595</v>
      </c>
      <c r="B137" s="1">
        <v>44901</v>
      </c>
      <c r="C137" t="s">
        <v>21</v>
      </c>
      <c r="D137" s="4">
        <v>12.99</v>
      </c>
      <c r="E137" s="4">
        <v>538.88</v>
      </c>
      <c r="F137" t="s">
        <v>10</v>
      </c>
      <c r="G137" t="s">
        <v>22</v>
      </c>
      <c r="H137" t="s">
        <v>38</v>
      </c>
      <c r="I137" t="s">
        <v>13</v>
      </c>
      <c r="J137">
        <f t="shared" si="2"/>
        <v>7000.0511999999999</v>
      </c>
    </row>
    <row r="138" spans="1:10" x14ac:dyDescent="0.25">
      <c r="A138">
        <v>10596</v>
      </c>
      <c r="B138" s="1">
        <v>44901</v>
      </c>
      <c r="C138" t="s">
        <v>25</v>
      </c>
      <c r="D138" s="4">
        <v>9.9499999999999993</v>
      </c>
      <c r="E138" s="4">
        <v>201.01</v>
      </c>
      <c r="F138" t="s">
        <v>10</v>
      </c>
      <c r="G138" t="s">
        <v>22</v>
      </c>
      <c r="H138" t="s">
        <v>38</v>
      </c>
      <c r="I138" t="s">
        <v>13</v>
      </c>
      <c r="J138">
        <f t="shared" si="2"/>
        <v>2000.0494999999999</v>
      </c>
    </row>
    <row r="139" spans="1:10" x14ac:dyDescent="0.25">
      <c r="A139">
        <v>10597</v>
      </c>
      <c r="B139" s="1">
        <v>44901</v>
      </c>
      <c r="C139" t="s">
        <v>9</v>
      </c>
      <c r="D139" s="4">
        <v>3.49</v>
      </c>
      <c r="E139" s="4">
        <v>573.07000000000005</v>
      </c>
      <c r="F139" t="s">
        <v>10</v>
      </c>
      <c r="G139" t="s">
        <v>22</v>
      </c>
      <c r="H139" t="s">
        <v>38</v>
      </c>
      <c r="I139" t="s">
        <v>13</v>
      </c>
      <c r="J139">
        <f t="shared" si="2"/>
        <v>2000.0143000000003</v>
      </c>
    </row>
    <row r="140" spans="1:10" x14ac:dyDescent="0.25">
      <c r="A140">
        <v>10598</v>
      </c>
      <c r="B140" s="1">
        <v>44901</v>
      </c>
      <c r="C140" t="s">
        <v>14</v>
      </c>
      <c r="D140" s="4">
        <v>2.95</v>
      </c>
      <c r="E140" s="4">
        <v>677.97</v>
      </c>
      <c r="F140" t="s">
        <v>10</v>
      </c>
      <c r="G140" t="s">
        <v>22</v>
      </c>
      <c r="H140" t="s">
        <v>38</v>
      </c>
      <c r="I140" t="s">
        <v>13</v>
      </c>
      <c r="J140">
        <f t="shared" si="2"/>
        <v>2000.0115000000003</v>
      </c>
    </row>
    <row r="141" spans="1:10" x14ac:dyDescent="0.25">
      <c r="A141">
        <v>10599</v>
      </c>
      <c r="B141" s="1">
        <v>44901</v>
      </c>
      <c r="C141" t="s">
        <v>17</v>
      </c>
      <c r="D141" s="4">
        <v>4.99</v>
      </c>
      <c r="E141" s="4">
        <v>200.4</v>
      </c>
      <c r="F141" t="s">
        <v>10</v>
      </c>
      <c r="G141" t="s">
        <v>22</v>
      </c>
      <c r="H141" t="s">
        <v>38</v>
      </c>
      <c r="I141" t="s">
        <v>13</v>
      </c>
      <c r="J141">
        <f t="shared" si="2"/>
        <v>999.99600000000009</v>
      </c>
    </row>
    <row r="142" spans="1:10" x14ac:dyDescent="0.25">
      <c r="A142">
        <v>10600</v>
      </c>
      <c r="B142" s="1">
        <v>44902</v>
      </c>
      <c r="C142" t="s">
        <v>21</v>
      </c>
      <c r="D142" s="4">
        <v>12.99</v>
      </c>
      <c r="E142" s="4">
        <v>523.48</v>
      </c>
      <c r="F142" t="s">
        <v>10</v>
      </c>
      <c r="G142" t="s">
        <v>22</v>
      </c>
      <c r="H142" t="s">
        <v>38</v>
      </c>
      <c r="I142" t="s">
        <v>13</v>
      </c>
      <c r="J142">
        <f t="shared" si="2"/>
        <v>6800.0052000000005</v>
      </c>
    </row>
    <row r="143" spans="1:10" x14ac:dyDescent="0.25">
      <c r="A143">
        <v>10601</v>
      </c>
      <c r="B143" s="1">
        <v>44902</v>
      </c>
      <c r="C143" t="s">
        <v>25</v>
      </c>
      <c r="D143" s="4">
        <v>9.9499999999999993</v>
      </c>
      <c r="E143" s="4">
        <v>201.01</v>
      </c>
      <c r="F143" t="s">
        <v>10</v>
      </c>
      <c r="G143" t="s">
        <v>22</v>
      </c>
      <c r="H143" t="s">
        <v>38</v>
      </c>
      <c r="I143" t="s">
        <v>13</v>
      </c>
      <c r="J143">
        <f t="shared" si="2"/>
        <v>2000.0494999999999</v>
      </c>
    </row>
    <row r="144" spans="1:10" x14ac:dyDescent="0.25">
      <c r="A144">
        <v>10602</v>
      </c>
      <c r="B144" s="1">
        <v>44902</v>
      </c>
      <c r="C144" t="s">
        <v>9</v>
      </c>
      <c r="D144" s="4">
        <v>3.49</v>
      </c>
      <c r="E144" s="4">
        <v>630.37</v>
      </c>
      <c r="F144" t="s">
        <v>10</v>
      </c>
      <c r="G144" t="s">
        <v>37</v>
      </c>
      <c r="H144" t="s">
        <v>38</v>
      </c>
      <c r="I144" t="s">
        <v>13</v>
      </c>
      <c r="J144">
        <f t="shared" si="2"/>
        <v>2199.9913000000001</v>
      </c>
    </row>
    <row r="145" spans="1:10" x14ac:dyDescent="0.25">
      <c r="A145">
        <v>10603</v>
      </c>
      <c r="B145" s="1">
        <v>44902</v>
      </c>
      <c r="C145" t="s">
        <v>14</v>
      </c>
      <c r="D145" s="4">
        <v>2.95</v>
      </c>
      <c r="E145" s="4">
        <v>677.97</v>
      </c>
      <c r="F145" t="s">
        <v>10</v>
      </c>
      <c r="G145" t="s">
        <v>37</v>
      </c>
      <c r="H145" t="s">
        <v>38</v>
      </c>
      <c r="I145" t="s">
        <v>13</v>
      </c>
      <c r="J145">
        <f t="shared" si="2"/>
        <v>2000.0115000000003</v>
      </c>
    </row>
    <row r="146" spans="1:10" x14ac:dyDescent="0.25">
      <c r="A146">
        <v>10604</v>
      </c>
      <c r="B146" s="1">
        <v>44902</v>
      </c>
      <c r="C146" t="s">
        <v>17</v>
      </c>
      <c r="D146" s="4">
        <v>4.99</v>
      </c>
      <c r="E146" s="4">
        <v>200.4</v>
      </c>
      <c r="F146" t="s">
        <v>10</v>
      </c>
      <c r="G146" t="s">
        <v>37</v>
      </c>
      <c r="H146" t="s">
        <v>38</v>
      </c>
      <c r="I146" t="s">
        <v>13</v>
      </c>
      <c r="J146">
        <f t="shared" si="2"/>
        <v>999.99600000000009</v>
      </c>
    </row>
    <row r="147" spans="1:10" x14ac:dyDescent="0.25">
      <c r="A147">
        <v>10605</v>
      </c>
      <c r="B147" s="1">
        <v>44903</v>
      </c>
      <c r="C147" t="s">
        <v>21</v>
      </c>
      <c r="D147" s="4">
        <v>12.99</v>
      </c>
      <c r="E147" s="4">
        <v>538.88</v>
      </c>
      <c r="F147" t="s">
        <v>10</v>
      </c>
      <c r="G147" t="s">
        <v>37</v>
      </c>
      <c r="H147" t="s">
        <v>38</v>
      </c>
      <c r="I147" t="s">
        <v>13</v>
      </c>
      <c r="J147">
        <f t="shared" si="2"/>
        <v>7000.0511999999999</v>
      </c>
    </row>
    <row r="148" spans="1:10" x14ac:dyDescent="0.25">
      <c r="A148">
        <v>10606</v>
      </c>
      <c r="B148" s="1">
        <v>44903</v>
      </c>
      <c r="C148" t="s">
        <v>25</v>
      </c>
      <c r="D148" s="4">
        <v>9.9499999999999993</v>
      </c>
      <c r="E148" s="4">
        <v>201.01</v>
      </c>
      <c r="F148" t="s">
        <v>10</v>
      </c>
      <c r="G148" t="s">
        <v>37</v>
      </c>
      <c r="H148" t="s">
        <v>38</v>
      </c>
      <c r="I148" t="s">
        <v>13</v>
      </c>
      <c r="J148">
        <f t="shared" si="2"/>
        <v>2000.0494999999999</v>
      </c>
    </row>
    <row r="149" spans="1:10" x14ac:dyDescent="0.25">
      <c r="A149">
        <v>10607</v>
      </c>
      <c r="B149" s="1">
        <v>44903</v>
      </c>
      <c r="C149" t="s">
        <v>9</v>
      </c>
      <c r="D149" s="4">
        <v>3.49</v>
      </c>
      <c r="E149" s="4">
        <v>630.37</v>
      </c>
      <c r="F149" t="s">
        <v>10</v>
      </c>
      <c r="G149" t="s">
        <v>37</v>
      </c>
      <c r="H149" t="s">
        <v>38</v>
      </c>
      <c r="I149" t="s">
        <v>13</v>
      </c>
      <c r="J149">
        <f t="shared" si="2"/>
        <v>2199.9913000000001</v>
      </c>
    </row>
    <row r="150" spans="1:10" x14ac:dyDescent="0.25">
      <c r="A150">
        <v>10608</v>
      </c>
      <c r="B150" s="1">
        <v>44903</v>
      </c>
      <c r="C150" t="s">
        <v>14</v>
      </c>
      <c r="D150" s="4">
        <v>2.95</v>
      </c>
      <c r="E150" s="4">
        <v>677.97</v>
      </c>
      <c r="F150" t="s">
        <v>10</v>
      </c>
      <c r="G150" t="s">
        <v>11</v>
      </c>
      <c r="H150" t="s">
        <v>38</v>
      </c>
      <c r="I150" t="s">
        <v>13</v>
      </c>
      <c r="J150">
        <f t="shared" si="2"/>
        <v>2000.0115000000003</v>
      </c>
    </row>
    <row r="151" spans="1:10" x14ac:dyDescent="0.25">
      <c r="A151">
        <v>10609</v>
      </c>
      <c r="B151" s="1">
        <v>44903</v>
      </c>
      <c r="C151" t="s">
        <v>17</v>
      </c>
      <c r="D151" s="4">
        <v>4.99</v>
      </c>
      <c r="E151" s="4">
        <v>200.4</v>
      </c>
      <c r="F151" t="s">
        <v>10</v>
      </c>
      <c r="G151" t="s">
        <v>11</v>
      </c>
      <c r="H151" t="s">
        <v>38</v>
      </c>
      <c r="I151" t="s">
        <v>13</v>
      </c>
      <c r="J151">
        <f t="shared" si="2"/>
        <v>999.99600000000009</v>
      </c>
    </row>
    <row r="152" spans="1:10" x14ac:dyDescent="0.25">
      <c r="A152">
        <v>10610</v>
      </c>
      <c r="B152" s="1">
        <v>44904</v>
      </c>
      <c r="C152" t="s">
        <v>21</v>
      </c>
      <c r="D152" s="4">
        <v>12.99</v>
      </c>
      <c r="E152" s="4">
        <v>569.66999999999996</v>
      </c>
      <c r="F152" t="s">
        <v>10</v>
      </c>
      <c r="G152" t="s">
        <v>11</v>
      </c>
      <c r="H152" t="s">
        <v>38</v>
      </c>
      <c r="I152" t="s">
        <v>13</v>
      </c>
      <c r="J152">
        <f t="shared" si="2"/>
        <v>7400.0132999999996</v>
      </c>
    </row>
    <row r="153" spans="1:10" x14ac:dyDescent="0.25">
      <c r="A153">
        <v>10611</v>
      </c>
      <c r="B153" s="1">
        <v>44904</v>
      </c>
      <c r="C153" t="s">
        <v>25</v>
      </c>
      <c r="D153" s="4">
        <v>9.9499999999999993</v>
      </c>
      <c r="E153" s="4">
        <v>201.01</v>
      </c>
      <c r="F153" t="s">
        <v>10</v>
      </c>
      <c r="G153" t="s">
        <v>11</v>
      </c>
      <c r="H153" t="s">
        <v>38</v>
      </c>
      <c r="I153" t="s">
        <v>13</v>
      </c>
      <c r="J153">
        <f t="shared" si="2"/>
        <v>2000.0494999999999</v>
      </c>
    </row>
    <row r="154" spans="1:10" x14ac:dyDescent="0.25">
      <c r="A154">
        <v>10612</v>
      </c>
      <c r="B154" s="1">
        <v>44904</v>
      </c>
      <c r="C154" t="s">
        <v>9</v>
      </c>
      <c r="D154" s="4">
        <v>3.49</v>
      </c>
      <c r="E154" s="4">
        <v>630.37</v>
      </c>
      <c r="F154" t="s">
        <v>10</v>
      </c>
      <c r="G154" t="s">
        <v>11</v>
      </c>
      <c r="H154" t="s">
        <v>38</v>
      </c>
      <c r="I154" t="s">
        <v>13</v>
      </c>
      <c r="J154">
        <f t="shared" si="2"/>
        <v>2199.9913000000001</v>
      </c>
    </row>
    <row r="155" spans="1:10" x14ac:dyDescent="0.25">
      <c r="A155">
        <v>10613</v>
      </c>
      <c r="B155" s="1">
        <v>44904</v>
      </c>
      <c r="C155" t="s">
        <v>14</v>
      </c>
      <c r="D155" s="4">
        <v>2.95</v>
      </c>
      <c r="E155" s="4">
        <v>677.97</v>
      </c>
      <c r="F155" t="s">
        <v>10</v>
      </c>
      <c r="G155" t="s">
        <v>11</v>
      </c>
      <c r="H155" t="s">
        <v>38</v>
      </c>
      <c r="I155" t="s">
        <v>13</v>
      </c>
      <c r="J155">
        <f t="shared" si="2"/>
        <v>2000.0115000000003</v>
      </c>
    </row>
    <row r="156" spans="1:10" x14ac:dyDescent="0.25">
      <c r="A156">
        <v>10614</v>
      </c>
      <c r="B156" s="1">
        <v>44904</v>
      </c>
      <c r="C156" t="s">
        <v>17</v>
      </c>
      <c r="D156" s="4">
        <v>4.99</v>
      </c>
      <c r="E156" s="4">
        <v>200.4</v>
      </c>
      <c r="F156" t="s">
        <v>10</v>
      </c>
      <c r="G156" t="s">
        <v>11</v>
      </c>
      <c r="H156" t="s">
        <v>38</v>
      </c>
      <c r="I156" t="s">
        <v>13</v>
      </c>
      <c r="J156">
        <f t="shared" si="2"/>
        <v>999.99600000000009</v>
      </c>
    </row>
    <row r="157" spans="1:10" x14ac:dyDescent="0.25">
      <c r="A157">
        <v>10615</v>
      </c>
      <c r="B157" s="1">
        <v>44905</v>
      </c>
      <c r="C157" t="s">
        <v>21</v>
      </c>
      <c r="D157" s="4">
        <v>12.99</v>
      </c>
      <c r="E157" s="4">
        <v>569.66999999999996</v>
      </c>
      <c r="F157" t="s">
        <v>10</v>
      </c>
      <c r="G157" t="s">
        <v>11</v>
      </c>
      <c r="H157" t="s">
        <v>38</v>
      </c>
      <c r="I157" t="s">
        <v>13</v>
      </c>
      <c r="J157">
        <f t="shared" si="2"/>
        <v>7400.0132999999996</v>
      </c>
    </row>
    <row r="158" spans="1:10" x14ac:dyDescent="0.25">
      <c r="A158">
        <v>10616</v>
      </c>
      <c r="B158" s="1">
        <v>44905</v>
      </c>
      <c r="C158" t="s">
        <v>25</v>
      </c>
      <c r="D158" s="4">
        <v>9.9499999999999993</v>
      </c>
      <c r="E158" s="4">
        <v>201.01</v>
      </c>
      <c r="F158" t="s">
        <v>10</v>
      </c>
      <c r="G158" t="s">
        <v>11</v>
      </c>
      <c r="H158" t="s">
        <v>38</v>
      </c>
      <c r="I158" t="s">
        <v>13</v>
      </c>
      <c r="J158">
        <f t="shared" si="2"/>
        <v>2000.0494999999999</v>
      </c>
    </row>
    <row r="159" spans="1:10" x14ac:dyDescent="0.25">
      <c r="A159">
        <v>10617</v>
      </c>
      <c r="B159" s="1">
        <v>44905</v>
      </c>
      <c r="C159" t="s">
        <v>9</v>
      </c>
      <c r="D159" s="4">
        <v>3.49</v>
      </c>
      <c r="E159" s="4">
        <v>630.37</v>
      </c>
      <c r="F159" t="s">
        <v>10</v>
      </c>
      <c r="G159" t="s">
        <v>11</v>
      </c>
      <c r="H159" t="s">
        <v>38</v>
      </c>
      <c r="I159" t="s">
        <v>13</v>
      </c>
      <c r="J159">
        <f t="shared" si="2"/>
        <v>2199.9913000000001</v>
      </c>
    </row>
    <row r="160" spans="1:10" x14ac:dyDescent="0.25">
      <c r="A160">
        <v>10618</v>
      </c>
      <c r="B160" s="1">
        <v>44905</v>
      </c>
      <c r="C160" t="s">
        <v>14</v>
      </c>
      <c r="D160" s="4">
        <v>2.95</v>
      </c>
      <c r="E160" s="4">
        <v>677.97</v>
      </c>
      <c r="F160" t="s">
        <v>10</v>
      </c>
      <c r="G160" t="s">
        <v>11</v>
      </c>
      <c r="H160" t="s">
        <v>38</v>
      </c>
      <c r="I160" t="s">
        <v>13</v>
      </c>
      <c r="J160">
        <f t="shared" si="2"/>
        <v>2000.0115000000003</v>
      </c>
    </row>
    <row r="161" spans="1:10" x14ac:dyDescent="0.25">
      <c r="A161">
        <v>10619</v>
      </c>
      <c r="B161" s="1">
        <v>44905</v>
      </c>
      <c r="C161" t="s">
        <v>17</v>
      </c>
      <c r="D161" s="4">
        <v>4.99</v>
      </c>
      <c r="E161" s="4">
        <v>200.4</v>
      </c>
      <c r="F161" t="s">
        <v>10</v>
      </c>
      <c r="G161" t="s">
        <v>11</v>
      </c>
      <c r="H161" t="s">
        <v>38</v>
      </c>
      <c r="I161" t="s">
        <v>13</v>
      </c>
      <c r="J161">
        <f t="shared" si="2"/>
        <v>999.99600000000009</v>
      </c>
    </row>
    <row r="162" spans="1:10" x14ac:dyDescent="0.25">
      <c r="A162">
        <v>10620</v>
      </c>
      <c r="B162" s="1">
        <v>44906</v>
      </c>
      <c r="C162" t="s">
        <v>21</v>
      </c>
      <c r="D162" s="4">
        <v>12.99</v>
      </c>
      <c r="E162" s="4">
        <v>585.07000000000005</v>
      </c>
      <c r="F162" t="s">
        <v>10</v>
      </c>
      <c r="G162" t="s">
        <v>11</v>
      </c>
      <c r="H162" t="s">
        <v>38</v>
      </c>
      <c r="I162" t="s">
        <v>13</v>
      </c>
      <c r="J162">
        <f t="shared" si="2"/>
        <v>7600.0593000000008</v>
      </c>
    </row>
    <row r="163" spans="1:10" x14ac:dyDescent="0.25">
      <c r="A163">
        <v>10621</v>
      </c>
      <c r="B163" s="1">
        <v>44906</v>
      </c>
      <c r="C163" t="s">
        <v>25</v>
      </c>
      <c r="D163" s="4">
        <v>9.9499999999999993</v>
      </c>
      <c r="E163" s="4">
        <v>201.01</v>
      </c>
      <c r="F163" t="s">
        <v>10</v>
      </c>
      <c r="G163" t="s">
        <v>11</v>
      </c>
      <c r="H163" t="s">
        <v>38</v>
      </c>
      <c r="I163" t="s">
        <v>13</v>
      </c>
      <c r="J163">
        <f t="shared" si="2"/>
        <v>2000.0494999999999</v>
      </c>
    </row>
    <row r="164" spans="1:10" x14ac:dyDescent="0.25">
      <c r="A164">
        <v>10622</v>
      </c>
      <c r="B164" s="1">
        <v>44906</v>
      </c>
      <c r="C164" t="s">
        <v>9</v>
      </c>
      <c r="D164" s="4">
        <v>3.49</v>
      </c>
      <c r="E164" s="4">
        <v>630.37</v>
      </c>
      <c r="F164" t="s">
        <v>10</v>
      </c>
      <c r="G164" t="s">
        <v>11</v>
      </c>
      <c r="H164" t="s">
        <v>38</v>
      </c>
      <c r="I164" t="s">
        <v>13</v>
      </c>
      <c r="J164">
        <f t="shared" si="2"/>
        <v>2199.9913000000001</v>
      </c>
    </row>
    <row r="165" spans="1:10" x14ac:dyDescent="0.25">
      <c r="A165">
        <v>10623</v>
      </c>
      <c r="B165" s="1">
        <v>44906</v>
      </c>
      <c r="C165" t="s">
        <v>14</v>
      </c>
      <c r="D165" s="4">
        <v>2.95</v>
      </c>
      <c r="E165" s="4">
        <v>745.76</v>
      </c>
      <c r="F165" t="s">
        <v>10</v>
      </c>
      <c r="G165" t="s">
        <v>11</v>
      </c>
      <c r="H165" t="s">
        <v>38</v>
      </c>
      <c r="I165" t="s">
        <v>13</v>
      </c>
      <c r="J165">
        <f t="shared" si="2"/>
        <v>2199.9920000000002</v>
      </c>
    </row>
    <row r="166" spans="1:10" x14ac:dyDescent="0.25">
      <c r="A166">
        <v>10624</v>
      </c>
      <c r="B166" s="1">
        <v>44906</v>
      </c>
      <c r="C166" t="s">
        <v>17</v>
      </c>
      <c r="D166" s="4">
        <v>4.99</v>
      </c>
      <c r="E166" s="4">
        <v>200.4</v>
      </c>
      <c r="F166" t="s">
        <v>10</v>
      </c>
      <c r="G166" t="s">
        <v>11</v>
      </c>
      <c r="H166" t="s">
        <v>38</v>
      </c>
      <c r="I166" t="s">
        <v>13</v>
      </c>
      <c r="J166">
        <f t="shared" si="2"/>
        <v>999.99600000000009</v>
      </c>
    </row>
    <row r="167" spans="1:10" x14ac:dyDescent="0.25">
      <c r="A167">
        <v>10625</v>
      </c>
      <c r="B167" s="1">
        <v>44907</v>
      </c>
      <c r="C167" t="s">
        <v>21</v>
      </c>
      <c r="D167" s="4">
        <v>12.99</v>
      </c>
      <c r="E167" s="4">
        <v>569.66999999999996</v>
      </c>
      <c r="F167" t="s">
        <v>10</v>
      </c>
      <c r="G167" t="s">
        <v>11</v>
      </c>
      <c r="H167" t="s">
        <v>38</v>
      </c>
      <c r="I167" t="s">
        <v>13</v>
      </c>
      <c r="J167">
        <f t="shared" si="2"/>
        <v>7400.0132999999996</v>
      </c>
    </row>
    <row r="168" spans="1:10" x14ac:dyDescent="0.25">
      <c r="A168">
        <v>10626</v>
      </c>
      <c r="B168" s="1">
        <v>44907</v>
      </c>
      <c r="C168" t="s">
        <v>25</v>
      </c>
      <c r="D168" s="4">
        <v>9.9499999999999993</v>
      </c>
      <c r="E168" s="4">
        <v>201.01</v>
      </c>
      <c r="F168" t="s">
        <v>10</v>
      </c>
      <c r="G168" t="s">
        <v>11</v>
      </c>
      <c r="H168" t="s">
        <v>38</v>
      </c>
      <c r="I168" t="s">
        <v>13</v>
      </c>
      <c r="J168">
        <f t="shared" si="2"/>
        <v>2000.0494999999999</v>
      </c>
    </row>
    <row r="169" spans="1:10" x14ac:dyDescent="0.25">
      <c r="A169">
        <v>10627</v>
      </c>
      <c r="B169" s="1">
        <v>44907</v>
      </c>
      <c r="C169" t="s">
        <v>9</v>
      </c>
      <c r="D169" s="4">
        <v>3.49</v>
      </c>
      <c r="E169" s="4">
        <v>630.37</v>
      </c>
      <c r="F169" t="s">
        <v>10</v>
      </c>
      <c r="G169" t="s">
        <v>11</v>
      </c>
      <c r="H169" t="s">
        <v>38</v>
      </c>
      <c r="I169" t="s">
        <v>13</v>
      </c>
      <c r="J169">
        <f t="shared" si="2"/>
        <v>2199.9913000000001</v>
      </c>
    </row>
    <row r="170" spans="1:10" x14ac:dyDescent="0.25">
      <c r="A170">
        <v>10628</v>
      </c>
      <c r="B170" s="1">
        <v>44907</v>
      </c>
      <c r="C170" t="s">
        <v>14</v>
      </c>
      <c r="D170" s="4">
        <v>2.95</v>
      </c>
      <c r="E170" s="4">
        <v>677.97</v>
      </c>
      <c r="F170" t="s">
        <v>10</v>
      </c>
      <c r="G170" t="s">
        <v>11</v>
      </c>
      <c r="H170" t="s">
        <v>35</v>
      </c>
      <c r="I170" t="s">
        <v>20</v>
      </c>
      <c r="J170">
        <f t="shared" si="2"/>
        <v>2000.0115000000003</v>
      </c>
    </row>
    <row r="171" spans="1:10" x14ac:dyDescent="0.25">
      <c r="A171">
        <v>10629</v>
      </c>
      <c r="B171" s="1">
        <v>44907</v>
      </c>
      <c r="C171" t="s">
        <v>17</v>
      </c>
      <c r="D171" s="4">
        <v>4.99</v>
      </c>
      <c r="E171" s="4">
        <v>200.4</v>
      </c>
      <c r="F171" t="s">
        <v>10</v>
      </c>
      <c r="G171" t="s">
        <v>11</v>
      </c>
      <c r="H171" t="s">
        <v>35</v>
      </c>
      <c r="I171" t="s">
        <v>20</v>
      </c>
      <c r="J171">
        <f t="shared" si="2"/>
        <v>999.99600000000009</v>
      </c>
    </row>
    <row r="172" spans="1:10" x14ac:dyDescent="0.25">
      <c r="A172">
        <v>10630</v>
      </c>
      <c r="B172" s="1">
        <v>44908</v>
      </c>
      <c r="C172" t="s">
        <v>21</v>
      </c>
      <c r="D172" s="4">
        <v>12.99</v>
      </c>
      <c r="E172" s="4">
        <v>569.66999999999996</v>
      </c>
      <c r="F172" t="s">
        <v>10</v>
      </c>
      <c r="G172" t="s">
        <v>37</v>
      </c>
      <c r="H172" t="s">
        <v>35</v>
      </c>
      <c r="I172" t="s">
        <v>20</v>
      </c>
      <c r="J172">
        <f t="shared" si="2"/>
        <v>7400.0132999999996</v>
      </c>
    </row>
    <row r="173" spans="1:10" x14ac:dyDescent="0.25">
      <c r="A173">
        <v>10631</v>
      </c>
      <c r="B173" s="1">
        <v>44908</v>
      </c>
      <c r="C173" t="s">
        <v>25</v>
      </c>
      <c r="D173" s="4">
        <v>9.9499999999999993</v>
      </c>
      <c r="E173" s="4">
        <v>201.01</v>
      </c>
      <c r="F173" t="s">
        <v>10</v>
      </c>
      <c r="G173" t="s">
        <v>11</v>
      </c>
      <c r="H173" t="s">
        <v>35</v>
      </c>
      <c r="I173" t="s">
        <v>20</v>
      </c>
      <c r="J173">
        <f t="shared" si="2"/>
        <v>2000.0494999999999</v>
      </c>
    </row>
    <row r="174" spans="1:10" x14ac:dyDescent="0.25">
      <c r="A174">
        <v>10632</v>
      </c>
      <c r="B174" s="1">
        <v>44908</v>
      </c>
      <c r="C174" t="s">
        <v>9</v>
      </c>
      <c r="D174" s="4">
        <v>3.49</v>
      </c>
      <c r="E174" s="4">
        <v>630.37</v>
      </c>
      <c r="F174" t="s">
        <v>10</v>
      </c>
      <c r="G174" t="s">
        <v>11</v>
      </c>
      <c r="H174" t="s">
        <v>35</v>
      </c>
      <c r="I174" t="s">
        <v>20</v>
      </c>
      <c r="J174">
        <f t="shared" si="2"/>
        <v>2199.9913000000001</v>
      </c>
    </row>
    <row r="175" spans="1:10" x14ac:dyDescent="0.25">
      <c r="A175">
        <v>10633</v>
      </c>
      <c r="B175" s="1">
        <v>44908</v>
      </c>
      <c r="C175" t="s">
        <v>14</v>
      </c>
      <c r="D175" s="4">
        <v>2.95</v>
      </c>
      <c r="E175" s="4">
        <v>677.97</v>
      </c>
      <c r="F175" t="s">
        <v>10</v>
      </c>
      <c r="G175" t="s">
        <v>11</v>
      </c>
      <c r="H175" t="s">
        <v>35</v>
      </c>
      <c r="I175" t="s">
        <v>20</v>
      </c>
      <c r="J175">
        <f t="shared" si="2"/>
        <v>2000.0115000000003</v>
      </c>
    </row>
    <row r="176" spans="1:10" x14ac:dyDescent="0.25">
      <c r="A176">
        <v>10634</v>
      </c>
      <c r="B176" s="1">
        <v>44908</v>
      </c>
      <c r="C176" t="s">
        <v>17</v>
      </c>
      <c r="D176" s="4">
        <v>4.99</v>
      </c>
      <c r="E176" s="4">
        <v>200.4</v>
      </c>
      <c r="F176" t="s">
        <v>10</v>
      </c>
      <c r="G176" t="s">
        <v>11</v>
      </c>
      <c r="H176" t="s">
        <v>35</v>
      </c>
      <c r="I176" t="s">
        <v>20</v>
      </c>
      <c r="J176">
        <f t="shared" si="2"/>
        <v>999.99600000000009</v>
      </c>
    </row>
    <row r="177" spans="1:10" x14ac:dyDescent="0.25">
      <c r="A177">
        <v>10635</v>
      </c>
      <c r="B177" s="1">
        <v>44909</v>
      </c>
      <c r="C177" t="s">
        <v>21</v>
      </c>
      <c r="D177" s="4">
        <v>12.99</v>
      </c>
      <c r="E177" s="4">
        <v>554.27</v>
      </c>
      <c r="F177" t="s">
        <v>10</v>
      </c>
      <c r="G177" t="s">
        <v>11</v>
      </c>
      <c r="H177" t="s">
        <v>35</v>
      </c>
      <c r="I177" t="s">
        <v>20</v>
      </c>
      <c r="J177">
        <f t="shared" si="2"/>
        <v>7199.9673000000003</v>
      </c>
    </row>
    <row r="178" spans="1:10" x14ac:dyDescent="0.25">
      <c r="A178">
        <v>10636</v>
      </c>
      <c r="B178" s="1">
        <v>44909</v>
      </c>
      <c r="C178" t="s">
        <v>25</v>
      </c>
      <c r="D178" s="4">
        <v>9.9499999999999993</v>
      </c>
      <c r="E178" s="4">
        <v>221.11</v>
      </c>
      <c r="F178" t="s">
        <v>10</v>
      </c>
      <c r="G178" t="s">
        <v>11</v>
      </c>
      <c r="H178" t="s">
        <v>35</v>
      </c>
      <c r="I178" t="s">
        <v>20</v>
      </c>
      <c r="J178">
        <f t="shared" si="2"/>
        <v>2200.0445</v>
      </c>
    </row>
    <row r="179" spans="1:10" x14ac:dyDescent="0.25">
      <c r="A179">
        <v>10637</v>
      </c>
      <c r="B179" s="1">
        <v>44909</v>
      </c>
      <c r="C179" t="s">
        <v>9</v>
      </c>
      <c r="D179" s="4">
        <v>3.49</v>
      </c>
      <c r="E179" s="4">
        <v>630.37</v>
      </c>
      <c r="F179" t="s">
        <v>10</v>
      </c>
      <c r="G179" t="s">
        <v>11</v>
      </c>
      <c r="H179" t="s">
        <v>35</v>
      </c>
      <c r="I179" t="s">
        <v>20</v>
      </c>
      <c r="J179">
        <f t="shared" si="2"/>
        <v>2199.9913000000001</v>
      </c>
    </row>
    <row r="180" spans="1:10" x14ac:dyDescent="0.25">
      <c r="A180">
        <v>10638</v>
      </c>
      <c r="B180" s="1">
        <v>44909</v>
      </c>
      <c r="C180" t="s">
        <v>14</v>
      </c>
      <c r="D180" s="4">
        <v>2.95</v>
      </c>
      <c r="E180" s="4">
        <v>677.97</v>
      </c>
      <c r="F180" t="s">
        <v>10</v>
      </c>
      <c r="G180" t="s">
        <v>11</v>
      </c>
      <c r="H180" t="s">
        <v>35</v>
      </c>
      <c r="I180" t="s">
        <v>20</v>
      </c>
      <c r="J180">
        <f t="shared" si="2"/>
        <v>2000.0115000000003</v>
      </c>
    </row>
    <row r="181" spans="1:10" x14ac:dyDescent="0.25">
      <c r="A181">
        <v>10639</v>
      </c>
      <c r="B181" s="1">
        <v>44909</v>
      </c>
      <c r="C181" t="s">
        <v>17</v>
      </c>
      <c r="D181" s="4">
        <v>4.99</v>
      </c>
      <c r="E181" s="4">
        <v>200.4</v>
      </c>
      <c r="F181" t="s">
        <v>10</v>
      </c>
      <c r="G181" t="s">
        <v>11</v>
      </c>
      <c r="H181" t="s">
        <v>35</v>
      </c>
      <c r="I181" t="s">
        <v>20</v>
      </c>
      <c r="J181">
        <f t="shared" si="2"/>
        <v>999.99600000000009</v>
      </c>
    </row>
    <row r="182" spans="1:10" x14ac:dyDescent="0.25">
      <c r="A182">
        <v>10640</v>
      </c>
      <c r="B182" s="1">
        <v>44910</v>
      </c>
      <c r="C182" t="s">
        <v>21</v>
      </c>
      <c r="D182" s="4">
        <v>12.99</v>
      </c>
      <c r="E182" s="4">
        <v>538.88</v>
      </c>
      <c r="F182" t="s">
        <v>10</v>
      </c>
      <c r="G182" t="s">
        <v>11</v>
      </c>
      <c r="H182" t="s">
        <v>35</v>
      </c>
      <c r="I182" t="s">
        <v>20</v>
      </c>
      <c r="J182">
        <f t="shared" si="2"/>
        <v>7000.0511999999999</v>
      </c>
    </row>
    <row r="183" spans="1:10" x14ac:dyDescent="0.25">
      <c r="A183">
        <v>10641</v>
      </c>
      <c r="B183" s="1">
        <v>44910</v>
      </c>
      <c r="C183" t="s">
        <v>25</v>
      </c>
      <c r="D183" s="4">
        <v>9.9499999999999993</v>
      </c>
      <c r="E183" s="4">
        <v>221.11</v>
      </c>
      <c r="F183" t="s">
        <v>10</v>
      </c>
      <c r="G183" t="s">
        <v>11</v>
      </c>
      <c r="H183" t="s">
        <v>35</v>
      </c>
      <c r="I183" t="s">
        <v>20</v>
      </c>
      <c r="J183">
        <f t="shared" si="2"/>
        <v>2200.0445</v>
      </c>
    </row>
    <row r="184" spans="1:10" x14ac:dyDescent="0.25">
      <c r="A184">
        <v>10642</v>
      </c>
      <c r="B184" s="1">
        <v>44910</v>
      </c>
      <c r="C184" t="s">
        <v>9</v>
      </c>
      <c r="D184" s="4">
        <v>3.49</v>
      </c>
      <c r="E184" s="4">
        <v>630.37</v>
      </c>
      <c r="F184" t="s">
        <v>10</v>
      </c>
      <c r="G184" t="s">
        <v>37</v>
      </c>
      <c r="H184" t="s">
        <v>35</v>
      </c>
      <c r="I184" t="s">
        <v>20</v>
      </c>
      <c r="J184">
        <f t="shared" si="2"/>
        <v>2199.9913000000001</v>
      </c>
    </row>
    <row r="185" spans="1:10" x14ac:dyDescent="0.25">
      <c r="A185">
        <v>10643</v>
      </c>
      <c r="B185" s="1">
        <v>44910</v>
      </c>
      <c r="C185" t="s">
        <v>14</v>
      </c>
      <c r="D185" s="4">
        <v>2.95</v>
      </c>
      <c r="E185" s="4">
        <v>677.97</v>
      </c>
      <c r="F185" t="s">
        <v>10</v>
      </c>
      <c r="G185" t="s">
        <v>37</v>
      </c>
      <c r="H185" t="s">
        <v>35</v>
      </c>
      <c r="I185" t="s">
        <v>20</v>
      </c>
      <c r="J185">
        <f t="shared" si="2"/>
        <v>2000.0115000000003</v>
      </c>
    </row>
    <row r="186" spans="1:10" x14ac:dyDescent="0.25">
      <c r="A186">
        <v>10644</v>
      </c>
      <c r="B186" s="1">
        <v>44910</v>
      </c>
      <c r="C186" t="s">
        <v>17</v>
      </c>
      <c r="D186" s="4">
        <v>4.99</v>
      </c>
      <c r="E186" s="4">
        <v>200.4</v>
      </c>
      <c r="F186" t="s">
        <v>10</v>
      </c>
      <c r="G186" t="s">
        <v>37</v>
      </c>
      <c r="H186" t="s">
        <v>35</v>
      </c>
      <c r="I186" t="s">
        <v>20</v>
      </c>
      <c r="J186">
        <f t="shared" si="2"/>
        <v>999.99600000000009</v>
      </c>
    </row>
    <row r="187" spans="1:10" x14ac:dyDescent="0.25">
      <c r="A187">
        <v>10645</v>
      </c>
      <c r="B187" s="1">
        <v>44911</v>
      </c>
      <c r="C187" t="s">
        <v>21</v>
      </c>
      <c r="D187" s="4">
        <v>12.99</v>
      </c>
      <c r="E187" s="4">
        <v>569.66999999999996</v>
      </c>
      <c r="F187" t="s">
        <v>10</v>
      </c>
      <c r="G187" t="s">
        <v>37</v>
      </c>
      <c r="H187" t="s">
        <v>35</v>
      </c>
      <c r="I187" t="s">
        <v>20</v>
      </c>
      <c r="J187">
        <f t="shared" si="2"/>
        <v>7400.0132999999996</v>
      </c>
    </row>
    <row r="188" spans="1:10" x14ac:dyDescent="0.25">
      <c r="A188">
        <v>10646</v>
      </c>
      <c r="B188" s="1">
        <v>44911</v>
      </c>
      <c r="C188" t="s">
        <v>25</v>
      </c>
      <c r="D188" s="4">
        <v>9.9499999999999993</v>
      </c>
      <c r="E188" s="4">
        <v>221.11</v>
      </c>
      <c r="F188" t="s">
        <v>10</v>
      </c>
      <c r="G188" t="s">
        <v>37</v>
      </c>
      <c r="H188" t="s">
        <v>35</v>
      </c>
      <c r="I188" t="s">
        <v>20</v>
      </c>
      <c r="J188">
        <f t="shared" si="2"/>
        <v>2200.0445</v>
      </c>
    </row>
    <row r="189" spans="1:10" x14ac:dyDescent="0.25">
      <c r="A189">
        <v>10647</v>
      </c>
      <c r="B189" s="1">
        <v>44911</v>
      </c>
      <c r="C189" t="s">
        <v>9</v>
      </c>
      <c r="D189" s="4">
        <v>3.49</v>
      </c>
      <c r="E189" s="4">
        <v>630.37</v>
      </c>
      <c r="F189" t="s">
        <v>10</v>
      </c>
      <c r="G189" t="s">
        <v>11</v>
      </c>
      <c r="H189" t="s">
        <v>35</v>
      </c>
      <c r="I189" t="s">
        <v>20</v>
      </c>
      <c r="J189">
        <f t="shared" si="2"/>
        <v>2199.9913000000001</v>
      </c>
    </row>
    <row r="190" spans="1:10" x14ac:dyDescent="0.25">
      <c r="A190">
        <v>10648</v>
      </c>
      <c r="B190" s="1">
        <v>44911</v>
      </c>
      <c r="C190" t="s">
        <v>14</v>
      </c>
      <c r="D190" s="4">
        <v>2.95</v>
      </c>
      <c r="E190" s="4">
        <v>745.76</v>
      </c>
      <c r="F190" t="s">
        <v>10</v>
      </c>
      <c r="G190" t="s">
        <v>11</v>
      </c>
      <c r="H190" t="s">
        <v>35</v>
      </c>
      <c r="I190" t="s">
        <v>20</v>
      </c>
      <c r="J190">
        <f t="shared" si="2"/>
        <v>2199.9920000000002</v>
      </c>
    </row>
    <row r="191" spans="1:10" x14ac:dyDescent="0.25">
      <c r="A191">
        <v>10649</v>
      </c>
      <c r="B191" s="1">
        <v>44911</v>
      </c>
      <c r="C191" t="s">
        <v>17</v>
      </c>
      <c r="D191" s="4">
        <v>4.99</v>
      </c>
      <c r="E191" s="4">
        <v>200.4</v>
      </c>
      <c r="F191" t="s">
        <v>10</v>
      </c>
      <c r="G191" t="s">
        <v>11</v>
      </c>
      <c r="H191" t="s">
        <v>35</v>
      </c>
      <c r="I191" t="s">
        <v>20</v>
      </c>
      <c r="J191">
        <f t="shared" si="2"/>
        <v>999.99600000000009</v>
      </c>
    </row>
    <row r="192" spans="1:10" x14ac:dyDescent="0.25">
      <c r="A192">
        <v>10650</v>
      </c>
      <c r="B192" s="1">
        <v>44912</v>
      </c>
      <c r="C192" t="s">
        <v>21</v>
      </c>
      <c r="D192" s="4">
        <v>12.99</v>
      </c>
      <c r="E192" s="4">
        <v>585.07000000000005</v>
      </c>
      <c r="F192" t="s">
        <v>10</v>
      </c>
      <c r="G192" t="s">
        <v>11</v>
      </c>
      <c r="H192" t="s">
        <v>35</v>
      </c>
      <c r="I192" t="s">
        <v>20</v>
      </c>
      <c r="J192">
        <f t="shared" si="2"/>
        <v>7600.0593000000008</v>
      </c>
    </row>
    <row r="193" spans="1:10" x14ac:dyDescent="0.25">
      <c r="A193">
        <v>10651</v>
      </c>
      <c r="B193" s="1">
        <v>44912</v>
      </c>
      <c r="C193" t="s">
        <v>25</v>
      </c>
      <c r="D193" s="4">
        <v>9.9499999999999993</v>
      </c>
      <c r="E193" s="4">
        <v>221.11</v>
      </c>
      <c r="F193" t="s">
        <v>10</v>
      </c>
      <c r="G193" t="s">
        <v>11</v>
      </c>
      <c r="H193" t="s">
        <v>35</v>
      </c>
      <c r="I193" t="s">
        <v>20</v>
      </c>
      <c r="J193">
        <f t="shared" si="2"/>
        <v>2200.0445</v>
      </c>
    </row>
    <row r="194" spans="1:10" x14ac:dyDescent="0.25">
      <c r="A194">
        <v>10652</v>
      </c>
      <c r="B194" s="1">
        <v>44912</v>
      </c>
      <c r="C194" t="s">
        <v>9</v>
      </c>
      <c r="D194" s="4">
        <v>3.49</v>
      </c>
      <c r="E194" s="4">
        <v>687.68</v>
      </c>
      <c r="F194" t="s">
        <v>10</v>
      </c>
      <c r="G194" t="s">
        <v>11</v>
      </c>
      <c r="H194" t="s">
        <v>35</v>
      </c>
      <c r="I194" t="s">
        <v>20</v>
      </c>
      <c r="J194">
        <f t="shared" ref="J194:J255" si="3">D194*E194</f>
        <v>2400.0032000000001</v>
      </c>
    </row>
    <row r="195" spans="1:10" x14ac:dyDescent="0.25">
      <c r="A195">
        <v>10653</v>
      </c>
      <c r="B195" s="1">
        <v>44912</v>
      </c>
      <c r="C195" t="s">
        <v>14</v>
      </c>
      <c r="D195" s="4">
        <v>2.95</v>
      </c>
      <c r="E195" s="4">
        <v>745.76</v>
      </c>
      <c r="F195" t="s">
        <v>10</v>
      </c>
      <c r="G195" t="s">
        <v>11</v>
      </c>
      <c r="H195" t="s">
        <v>35</v>
      </c>
      <c r="I195" t="s">
        <v>20</v>
      </c>
      <c r="J195">
        <f t="shared" si="3"/>
        <v>2199.9920000000002</v>
      </c>
    </row>
    <row r="196" spans="1:10" x14ac:dyDescent="0.25">
      <c r="A196">
        <v>10654</v>
      </c>
      <c r="B196" s="1">
        <v>44912</v>
      </c>
      <c r="C196" t="s">
        <v>17</v>
      </c>
      <c r="D196" s="4">
        <v>4.99</v>
      </c>
      <c r="E196" s="4">
        <v>200.4</v>
      </c>
      <c r="F196" t="s">
        <v>10</v>
      </c>
      <c r="G196" t="s">
        <v>11</v>
      </c>
      <c r="H196" t="s">
        <v>35</v>
      </c>
      <c r="I196" t="s">
        <v>20</v>
      </c>
      <c r="J196">
        <f t="shared" si="3"/>
        <v>999.99600000000009</v>
      </c>
    </row>
    <row r="197" spans="1:10" x14ac:dyDescent="0.25">
      <c r="A197">
        <v>10655</v>
      </c>
      <c r="B197" s="1">
        <v>44913</v>
      </c>
      <c r="C197" t="s">
        <v>21</v>
      </c>
      <c r="D197" s="4">
        <v>12.99</v>
      </c>
      <c r="E197" s="4">
        <v>600.46</v>
      </c>
      <c r="F197" t="s">
        <v>10</v>
      </c>
      <c r="G197" t="s">
        <v>11</v>
      </c>
      <c r="H197" t="s">
        <v>35</v>
      </c>
      <c r="I197" t="s">
        <v>20</v>
      </c>
      <c r="J197">
        <f t="shared" si="3"/>
        <v>7799.9754000000003</v>
      </c>
    </row>
    <row r="198" spans="1:10" x14ac:dyDescent="0.25">
      <c r="A198">
        <v>10656</v>
      </c>
      <c r="B198" s="1">
        <v>44913</v>
      </c>
      <c r="C198" t="s">
        <v>25</v>
      </c>
      <c r="D198" s="4">
        <v>9.9499999999999993</v>
      </c>
      <c r="E198" s="4">
        <v>221.11</v>
      </c>
      <c r="F198" t="s">
        <v>10</v>
      </c>
      <c r="G198" t="s">
        <v>11</v>
      </c>
      <c r="H198" t="s">
        <v>35</v>
      </c>
      <c r="I198" t="s">
        <v>20</v>
      </c>
      <c r="J198">
        <f t="shared" si="3"/>
        <v>2200.0445</v>
      </c>
    </row>
    <row r="199" spans="1:10" x14ac:dyDescent="0.25">
      <c r="A199">
        <v>10657</v>
      </c>
      <c r="B199" s="1">
        <v>44913</v>
      </c>
      <c r="C199" t="s">
        <v>9</v>
      </c>
      <c r="D199" s="4">
        <v>3.49</v>
      </c>
      <c r="E199" s="4">
        <v>687.68</v>
      </c>
      <c r="F199" t="s">
        <v>10</v>
      </c>
      <c r="G199" t="s">
        <v>11</v>
      </c>
      <c r="H199" t="s">
        <v>35</v>
      </c>
      <c r="I199" t="s">
        <v>20</v>
      </c>
      <c r="J199">
        <f t="shared" si="3"/>
        <v>2400.0032000000001</v>
      </c>
    </row>
    <row r="200" spans="1:10" x14ac:dyDescent="0.25">
      <c r="A200">
        <v>10658</v>
      </c>
      <c r="B200" s="1">
        <v>44913</v>
      </c>
      <c r="C200" t="s">
        <v>14</v>
      </c>
      <c r="D200" s="4">
        <v>2.95</v>
      </c>
      <c r="E200" s="4">
        <v>745.76</v>
      </c>
      <c r="F200" t="s">
        <v>10</v>
      </c>
      <c r="G200" t="s">
        <v>37</v>
      </c>
      <c r="H200" t="s">
        <v>35</v>
      </c>
      <c r="I200" t="s">
        <v>20</v>
      </c>
      <c r="J200">
        <f t="shared" si="3"/>
        <v>2199.9920000000002</v>
      </c>
    </row>
    <row r="201" spans="1:10" x14ac:dyDescent="0.25">
      <c r="A201">
        <v>10659</v>
      </c>
      <c r="B201" s="1">
        <v>44913</v>
      </c>
      <c r="C201" t="s">
        <v>17</v>
      </c>
      <c r="D201" s="4">
        <v>4.99</v>
      </c>
      <c r="E201" s="4">
        <v>200.4</v>
      </c>
      <c r="F201" t="s">
        <v>10</v>
      </c>
      <c r="G201" t="s">
        <v>37</v>
      </c>
      <c r="H201" t="s">
        <v>35</v>
      </c>
      <c r="I201" t="s">
        <v>20</v>
      </c>
      <c r="J201">
        <f t="shared" si="3"/>
        <v>999.99600000000009</v>
      </c>
    </row>
    <row r="202" spans="1:10" x14ac:dyDescent="0.25">
      <c r="A202">
        <v>10660</v>
      </c>
      <c r="B202" s="1">
        <v>44914</v>
      </c>
      <c r="C202" t="s">
        <v>21</v>
      </c>
      <c r="D202" s="4">
        <v>12.99</v>
      </c>
      <c r="E202" s="4">
        <v>631.25</v>
      </c>
      <c r="F202" t="s">
        <v>18</v>
      </c>
      <c r="G202" t="s">
        <v>37</v>
      </c>
      <c r="H202" t="s">
        <v>35</v>
      </c>
      <c r="I202" t="s">
        <v>20</v>
      </c>
      <c r="J202">
        <f t="shared" si="3"/>
        <v>8199.9375</v>
      </c>
    </row>
    <row r="203" spans="1:10" x14ac:dyDescent="0.25">
      <c r="A203">
        <v>10661</v>
      </c>
      <c r="B203" s="1">
        <v>44914</v>
      </c>
      <c r="C203" t="s">
        <v>25</v>
      </c>
      <c r="D203" s="4">
        <v>9.9499999999999993</v>
      </c>
      <c r="E203" s="4">
        <v>221.11</v>
      </c>
      <c r="F203" t="s">
        <v>18</v>
      </c>
      <c r="G203" t="s">
        <v>37</v>
      </c>
      <c r="H203" t="s">
        <v>35</v>
      </c>
      <c r="I203" t="s">
        <v>20</v>
      </c>
      <c r="J203">
        <f t="shared" si="3"/>
        <v>2200.0445</v>
      </c>
    </row>
    <row r="204" spans="1:10" x14ac:dyDescent="0.25">
      <c r="A204">
        <v>10662</v>
      </c>
      <c r="B204" s="1">
        <v>44914</v>
      </c>
      <c r="C204" t="s">
        <v>9</v>
      </c>
      <c r="D204" s="4">
        <v>3.49</v>
      </c>
      <c r="E204" s="4">
        <v>630.37</v>
      </c>
      <c r="F204" t="s">
        <v>18</v>
      </c>
      <c r="G204" t="s">
        <v>37</v>
      </c>
      <c r="H204" t="s">
        <v>35</v>
      </c>
      <c r="I204" t="s">
        <v>20</v>
      </c>
      <c r="J204">
        <f t="shared" si="3"/>
        <v>2199.9913000000001</v>
      </c>
    </row>
    <row r="205" spans="1:10" x14ac:dyDescent="0.25">
      <c r="A205">
        <v>10663</v>
      </c>
      <c r="B205" s="1">
        <v>44914</v>
      </c>
      <c r="C205" t="s">
        <v>14</v>
      </c>
      <c r="D205" s="4">
        <v>2.95</v>
      </c>
      <c r="E205" s="4">
        <v>745.76</v>
      </c>
      <c r="F205" t="s">
        <v>18</v>
      </c>
      <c r="G205" t="s">
        <v>37</v>
      </c>
      <c r="H205" t="s">
        <v>35</v>
      </c>
      <c r="I205" t="s">
        <v>20</v>
      </c>
      <c r="J205">
        <f t="shared" si="3"/>
        <v>2199.9920000000002</v>
      </c>
    </row>
    <row r="206" spans="1:10" x14ac:dyDescent="0.25">
      <c r="A206">
        <v>10664</v>
      </c>
      <c r="B206" s="1">
        <v>44914</v>
      </c>
      <c r="C206" t="s">
        <v>17</v>
      </c>
      <c r="D206" s="4">
        <v>4.99</v>
      </c>
      <c r="E206" s="4">
        <v>200.4</v>
      </c>
      <c r="F206" t="s">
        <v>18</v>
      </c>
      <c r="G206" t="s">
        <v>37</v>
      </c>
      <c r="H206" t="s">
        <v>35</v>
      </c>
      <c r="I206" t="s">
        <v>20</v>
      </c>
      <c r="J206">
        <f t="shared" si="3"/>
        <v>999.99600000000009</v>
      </c>
    </row>
    <row r="207" spans="1:10" x14ac:dyDescent="0.25">
      <c r="A207">
        <v>10665</v>
      </c>
      <c r="B207" s="1">
        <v>44915</v>
      </c>
      <c r="C207" t="s">
        <v>21</v>
      </c>
      <c r="D207" s="4">
        <v>12.99</v>
      </c>
      <c r="E207" s="4">
        <v>646.65</v>
      </c>
      <c r="F207" t="s">
        <v>18</v>
      </c>
      <c r="G207" t="s">
        <v>37</v>
      </c>
      <c r="H207" t="s">
        <v>35</v>
      </c>
      <c r="I207" t="s">
        <v>20</v>
      </c>
      <c r="J207">
        <f t="shared" si="3"/>
        <v>8399.9835000000003</v>
      </c>
    </row>
    <row r="208" spans="1:10" x14ac:dyDescent="0.25">
      <c r="A208">
        <v>10666</v>
      </c>
      <c r="B208" s="1">
        <v>44915</v>
      </c>
      <c r="C208" t="s">
        <v>25</v>
      </c>
      <c r="D208" s="4">
        <v>9.9499999999999993</v>
      </c>
      <c r="E208" s="4">
        <v>221.11</v>
      </c>
      <c r="F208" t="s">
        <v>18</v>
      </c>
      <c r="G208" t="s">
        <v>37</v>
      </c>
      <c r="H208" t="s">
        <v>35</v>
      </c>
      <c r="I208" t="s">
        <v>20</v>
      </c>
      <c r="J208">
        <f t="shared" si="3"/>
        <v>2200.0445</v>
      </c>
    </row>
    <row r="209" spans="1:10" x14ac:dyDescent="0.25">
      <c r="A209">
        <v>10667</v>
      </c>
      <c r="B209" s="1">
        <v>44915</v>
      </c>
      <c r="C209" t="s">
        <v>9</v>
      </c>
      <c r="D209" s="4">
        <v>3.49</v>
      </c>
      <c r="E209" s="4">
        <v>630.37</v>
      </c>
      <c r="F209" t="s">
        <v>18</v>
      </c>
      <c r="G209" t="s">
        <v>37</v>
      </c>
      <c r="H209" t="s">
        <v>35</v>
      </c>
      <c r="I209" t="s">
        <v>20</v>
      </c>
      <c r="J209">
        <f t="shared" si="3"/>
        <v>2199.9913000000001</v>
      </c>
    </row>
    <row r="210" spans="1:10" x14ac:dyDescent="0.25">
      <c r="A210">
        <v>10668</v>
      </c>
      <c r="B210" s="1">
        <v>44915</v>
      </c>
      <c r="C210" t="s">
        <v>14</v>
      </c>
      <c r="D210" s="4">
        <v>2.95</v>
      </c>
      <c r="E210" s="4">
        <v>745.76</v>
      </c>
      <c r="F210" t="s">
        <v>18</v>
      </c>
      <c r="G210" t="s">
        <v>37</v>
      </c>
      <c r="H210" t="s">
        <v>35</v>
      </c>
      <c r="I210" t="s">
        <v>20</v>
      </c>
      <c r="J210">
        <f t="shared" si="3"/>
        <v>2199.9920000000002</v>
      </c>
    </row>
    <row r="211" spans="1:10" x14ac:dyDescent="0.25">
      <c r="A211">
        <v>10669</v>
      </c>
      <c r="B211" s="1">
        <v>44915</v>
      </c>
      <c r="C211" t="s">
        <v>17</v>
      </c>
      <c r="D211" s="4">
        <v>4.99</v>
      </c>
      <c r="E211" s="4">
        <v>200.4</v>
      </c>
      <c r="F211" t="s">
        <v>18</v>
      </c>
      <c r="G211" t="s">
        <v>37</v>
      </c>
      <c r="H211" t="s">
        <v>35</v>
      </c>
      <c r="I211" t="s">
        <v>20</v>
      </c>
      <c r="J211">
        <f t="shared" si="3"/>
        <v>999.99600000000009</v>
      </c>
    </row>
    <row r="212" spans="1:10" x14ac:dyDescent="0.25">
      <c r="A212">
        <v>10670</v>
      </c>
      <c r="B212" s="1">
        <v>44916</v>
      </c>
      <c r="C212" t="s">
        <v>21</v>
      </c>
      <c r="D212" s="4">
        <v>12.99</v>
      </c>
      <c r="E212" s="4">
        <v>677.44</v>
      </c>
      <c r="F212" t="s">
        <v>18</v>
      </c>
      <c r="G212" t="s">
        <v>37</v>
      </c>
      <c r="H212" t="s">
        <v>35</v>
      </c>
      <c r="I212" t="s">
        <v>20</v>
      </c>
      <c r="J212">
        <f t="shared" si="3"/>
        <v>8799.9456000000009</v>
      </c>
    </row>
    <row r="213" spans="1:10" x14ac:dyDescent="0.25">
      <c r="A213">
        <v>10671</v>
      </c>
      <c r="B213" s="1">
        <v>44916</v>
      </c>
      <c r="C213" t="s">
        <v>25</v>
      </c>
      <c r="D213" s="4">
        <v>9.9499999999999993</v>
      </c>
      <c r="E213" s="4">
        <v>221.11</v>
      </c>
      <c r="F213" t="s">
        <v>18</v>
      </c>
      <c r="G213" t="s">
        <v>37</v>
      </c>
      <c r="H213" t="s">
        <v>35</v>
      </c>
      <c r="I213" t="s">
        <v>20</v>
      </c>
      <c r="J213">
        <f t="shared" si="3"/>
        <v>2200.0445</v>
      </c>
    </row>
    <row r="214" spans="1:10" x14ac:dyDescent="0.25">
      <c r="A214">
        <v>10672</v>
      </c>
      <c r="B214" s="1">
        <v>44916</v>
      </c>
      <c r="C214" t="s">
        <v>9</v>
      </c>
      <c r="D214" s="4">
        <v>3.49</v>
      </c>
      <c r="E214" s="4">
        <v>630.37</v>
      </c>
      <c r="F214" t="s">
        <v>18</v>
      </c>
      <c r="G214" t="s">
        <v>37</v>
      </c>
      <c r="H214" t="s">
        <v>35</v>
      </c>
      <c r="I214" t="s">
        <v>20</v>
      </c>
      <c r="J214">
        <f t="shared" si="3"/>
        <v>2199.9913000000001</v>
      </c>
    </row>
    <row r="215" spans="1:10" x14ac:dyDescent="0.25">
      <c r="A215">
        <v>10673</v>
      </c>
      <c r="B215" s="1">
        <v>44916</v>
      </c>
      <c r="C215" t="s">
        <v>14</v>
      </c>
      <c r="D215" s="4">
        <v>2.95</v>
      </c>
      <c r="E215" s="4">
        <v>745.76</v>
      </c>
      <c r="F215" t="s">
        <v>18</v>
      </c>
      <c r="G215" t="s">
        <v>37</v>
      </c>
      <c r="H215" t="s">
        <v>35</v>
      </c>
      <c r="I215" t="s">
        <v>20</v>
      </c>
      <c r="J215">
        <f t="shared" si="3"/>
        <v>2199.9920000000002</v>
      </c>
    </row>
    <row r="216" spans="1:10" x14ac:dyDescent="0.25">
      <c r="A216">
        <v>10674</v>
      </c>
      <c r="B216" s="1">
        <v>44916</v>
      </c>
      <c r="C216" t="s">
        <v>17</v>
      </c>
      <c r="D216" s="4">
        <v>4.99</v>
      </c>
      <c r="E216" s="4">
        <v>200.4</v>
      </c>
      <c r="F216" t="s">
        <v>18</v>
      </c>
      <c r="G216" t="s">
        <v>37</v>
      </c>
      <c r="H216" t="s">
        <v>35</v>
      </c>
      <c r="I216" t="s">
        <v>20</v>
      </c>
      <c r="J216">
        <f t="shared" si="3"/>
        <v>999.99600000000009</v>
      </c>
    </row>
    <row r="217" spans="1:10" x14ac:dyDescent="0.25">
      <c r="A217">
        <v>10675</v>
      </c>
      <c r="B217" s="1">
        <v>44917</v>
      </c>
      <c r="C217" t="s">
        <v>21</v>
      </c>
      <c r="D217" s="4">
        <v>12.99</v>
      </c>
      <c r="E217" s="4">
        <v>677.44</v>
      </c>
      <c r="F217" t="s">
        <v>18</v>
      </c>
      <c r="G217" t="s">
        <v>37</v>
      </c>
      <c r="H217" t="s">
        <v>35</v>
      </c>
      <c r="I217" t="s">
        <v>20</v>
      </c>
      <c r="J217">
        <f t="shared" si="3"/>
        <v>8799.9456000000009</v>
      </c>
    </row>
    <row r="218" spans="1:10" x14ac:dyDescent="0.25">
      <c r="A218">
        <v>10676</v>
      </c>
      <c r="B218" s="1">
        <v>44917</v>
      </c>
      <c r="C218" t="s">
        <v>25</v>
      </c>
      <c r="D218" s="4">
        <v>9.9499999999999993</v>
      </c>
      <c r="E218" s="4">
        <v>241.21</v>
      </c>
      <c r="F218" t="s">
        <v>18</v>
      </c>
      <c r="G218" t="s">
        <v>37</v>
      </c>
      <c r="H218" t="s">
        <v>35</v>
      </c>
      <c r="I218" t="s">
        <v>20</v>
      </c>
      <c r="J218">
        <f t="shared" si="3"/>
        <v>2400.0394999999999</v>
      </c>
    </row>
    <row r="219" spans="1:10" x14ac:dyDescent="0.25">
      <c r="A219">
        <v>10677</v>
      </c>
      <c r="B219" s="1">
        <v>44917</v>
      </c>
      <c r="C219" t="s">
        <v>9</v>
      </c>
      <c r="D219" s="4">
        <v>3.49</v>
      </c>
      <c r="E219" s="4">
        <v>630.37</v>
      </c>
      <c r="F219" t="s">
        <v>18</v>
      </c>
      <c r="G219" t="s">
        <v>37</v>
      </c>
      <c r="H219" t="s">
        <v>35</v>
      </c>
      <c r="I219" t="s">
        <v>20</v>
      </c>
      <c r="J219">
        <f t="shared" si="3"/>
        <v>2199.9913000000001</v>
      </c>
    </row>
    <row r="220" spans="1:10" x14ac:dyDescent="0.25">
      <c r="A220">
        <v>10678</v>
      </c>
      <c r="B220" s="1">
        <v>44917</v>
      </c>
      <c r="C220" t="s">
        <v>14</v>
      </c>
      <c r="D220" s="4">
        <v>2.95</v>
      </c>
      <c r="E220" s="4">
        <v>745.76</v>
      </c>
      <c r="F220" t="s">
        <v>18</v>
      </c>
      <c r="G220" t="s">
        <v>37</v>
      </c>
      <c r="H220" t="s">
        <v>35</v>
      </c>
      <c r="I220" t="s">
        <v>20</v>
      </c>
      <c r="J220">
        <f t="shared" si="3"/>
        <v>2199.9920000000002</v>
      </c>
    </row>
    <row r="221" spans="1:10" x14ac:dyDescent="0.25">
      <c r="A221">
        <v>10679</v>
      </c>
      <c r="B221" s="1">
        <v>44917</v>
      </c>
      <c r="C221" t="s">
        <v>17</v>
      </c>
      <c r="D221" s="4">
        <v>4.99</v>
      </c>
      <c r="E221" s="4">
        <v>200.4</v>
      </c>
      <c r="F221" t="s">
        <v>18</v>
      </c>
      <c r="G221" t="s">
        <v>37</v>
      </c>
      <c r="H221" t="s">
        <v>35</v>
      </c>
      <c r="I221" t="s">
        <v>20</v>
      </c>
      <c r="J221">
        <f t="shared" si="3"/>
        <v>999.99600000000009</v>
      </c>
    </row>
    <row r="222" spans="1:10" x14ac:dyDescent="0.25">
      <c r="A222">
        <v>10680</v>
      </c>
      <c r="B222" s="1">
        <v>44918</v>
      </c>
      <c r="C222" t="s">
        <v>21</v>
      </c>
      <c r="D222" s="4">
        <v>12.99</v>
      </c>
      <c r="E222" s="4">
        <v>646.65</v>
      </c>
      <c r="F222" t="s">
        <v>18</v>
      </c>
      <c r="G222" t="s">
        <v>37</v>
      </c>
      <c r="H222" t="s">
        <v>35</v>
      </c>
      <c r="I222" t="s">
        <v>20</v>
      </c>
      <c r="J222">
        <f t="shared" si="3"/>
        <v>8399.9835000000003</v>
      </c>
    </row>
    <row r="223" spans="1:10" x14ac:dyDescent="0.25">
      <c r="A223">
        <v>10681</v>
      </c>
      <c r="B223" s="1">
        <v>44918</v>
      </c>
      <c r="C223" t="s">
        <v>25</v>
      </c>
      <c r="D223" s="4">
        <v>9.9499999999999993</v>
      </c>
      <c r="E223" s="4">
        <v>241.21</v>
      </c>
      <c r="F223" t="s">
        <v>18</v>
      </c>
      <c r="G223" t="s">
        <v>37</v>
      </c>
      <c r="H223" t="s">
        <v>35</v>
      </c>
      <c r="I223" t="s">
        <v>20</v>
      </c>
      <c r="J223">
        <f t="shared" si="3"/>
        <v>2400.0394999999999</v>
      </c>
    </row>
    <row r="224" spans="1:10" x14ac:dyDescent="0.25">
      <c r="A224">
        <v>10682</v>
      </c>
      <c r="B224" s="1">
        <v>44918</v>
      </c>
      <c r="C224" t="s">
        <v>9</v>
      </c>
      <c r="D224" s="4">
        <v>3.49</v>
      </c>
      <c r="E224" s="4">
        <v>630.37</v>
      </c>
      <c r="F224" t="s">
        <v>18</v>
      </c>
      <c r="G224" t="s">
        <v>37</v>
      </c>
      <c r="H224" t="s">
        <v>35</v>
      </c>
      <c r="I224" t="s">
        <v>20</v>
      </c>
      <c r="J224">
        <f t="shared" si="3"/>
        <v>2199.9913000000001</v>
      </c>
    </row>
    <row r="225" spans="1:10" x14ac:dyDescent="0.25">
      <c r="A225">
        <v>10683</v>
      </c>
      <c r="B225" s="1">
        <v>44918</v>
      </c>
      <c r="C225" t="s">
        <v>14</v>
      </c>
      <c r="D225" s="4">
        <v>2.95</v>
      </c>
      <c r="E225" s="4">
        <v>677.97</v>
      </c>
      <c r="F225" t="s">
        <v>18</v>
      </c>
      <c r="G225" t="s">
        <v>37</v>
      </c>
      <c r="H225" t="s">
        <v>35</v>
      </c>
      <c r="I225" t="s">
        <v>20</v>
      </c>
      <c r="J225">
        <f t="shared" si="3"/>
        <v>2000.0115000000003</v>
      </c>
    </row>
    <row r="226" spans="1:10" x14ac:dyDescent="0.25">
      <c r="A226">
        <v>10684</v>
      </c>
      <c r="B226" s="1">
        <v>44918</v>
      </c>
      <c r="C226" t="s">
        <v>17</v>
      </c>
      <c r="D226" s="4">
        <v>4.99</v>
      </c>
      <c r="E226" s="4">
        <v>200.4</v>
      </c>
      <c r="F226" t="s">
        <v>18</v>
      </c>
      <c r="G226" t="s">
        <v>37</v>
      </c>
      <c r="H226" t="s">
        <v>35</v>
      </c>
      <c r="I226" t="s">
        <v>20</v>
      </c>
      <c r="J226">
        <f t="shared" si="3"/>
        <v>999.99600000000009</v>
      </c>
    </row>
    <row r="227" spans="1:10" x14ac:dyDescent="0.25">
      <c r="A227">
        <v>10685</v>
      </c>
      <c r="B227" s="1">
        <v>44919</v>
      </c>
      <c r="C227" t="s">
        <v>21</v>
      </c>
      <c r="D227" s="4">
        <v>12.99</v>
      </c>
      <c r="E227" s="4">
        <v>677.44</v>
      </c>
      <c r="F227" t="s">
        <v>18</v>
      </c>
      <c r="G227" t="s">
        <v>37</v>
      </c>
      <c r="H227" t="s">
        <v>35</v>
      </c>
      <c r="I227" t="s">
        <v>20</v>
      </c>
      <c r="J227">
        <f t="shared" si="3"/>
        <v>8799.9456000000009</v>
      </c>
    </row>
    <row r="228" spans="1:10" x14ac:dyDescent="0.25">
      <c r="A228">
        <v>10686</v>
      </c>
      <c r="B228" s="1">
        <v>44919</v>
      </c>
      <c r="C228" t="s">
        <v>25</v>
      </c>
      <c r="D228" s="4">
        <v>9.9499999999999993</v>
      </c>
      <c r="E228" s="4">
        <v>241.21</v>
      </c>
      <c r="F228" t="s">
        <v>18</v>
      </c>
      <c r="G228" t="s">
        <v>37</v>
      </c>
      <c r="H228" t="s">
        <v>35</v>
      </c>
      <c r="I228" t="s">
        <v>20</v>
      </c>
      <c r="J228">
        <f t="shared" si="3"/>
        <v>2400.0394999999999</v>
      </c>
    </row>
    <row r="229" spans="1:10" x14ac:dyDescent="0.25">
      <c r="A229">
        <v>10687</v>
      </c>
      <c r="B229" s="1">
        <v>44919</v>
      </c>
      <c r="C229" t="s">
        <v>9</v>
      </c>
      <c r="D229" s="4">
        <v>3.49</v>
      </c>
      <c r="E229" s="4">
        <v>630.37</v>
      </c>
      <c r="F229" t="s">
        <v>18</v>
      </c>
      <c r="G229" t="s">
        <v>37</v>
      </c>
      <c r="H229" t="s">
        <v>23</v>
      </c>
      <c r="I229" t="s">
        <v>24</v>
      </c>
      <c r="J229">
        <f t="shared" si="3"/>
        <v>2199.9913000000001</v>
      </c>
    </row>
    <row r="230" spans="1:10" x14ac:dyDescent="0.25">
      <c r="A230">
        <v>10688</v>
      </c>
      <c r="B230" s="1">
        <v>44919</v>
      </c>
      <c r="C230" t="s">
        <v>14</v>
      </c>
      <c r="D230" s="4">
        <v>2.95</v>
      </c>
      <c r="E230" s="4">
        <v>677.97</v>
      </c>
      <c r="F230" t="s">
        <v>18</v>
      </c>
      <c r="G230" t="s">
        <v>37</v>
      </c>
      <c r="H230" t="s">
        <v>23</v>
      </c>
      <c r="I230" t="s">
        <v>24</v>
      </c>
      <c r="J230">
        <f t="shared" si="3"/>
        <v>2000.0115000000003</v>
      </c>
    </row>
    <row r="231" spans="1:10" x14ac:dyDescent="0.25">
      <c r="A231">
        <v>10689</v>
      </c>
      <c r="B231" s="1">
        <v>44919</v>
      </c>
      <c r="C231" t="s">
        <v>17</v>
      </c>
      <c r="D231" s="4">
        <v>4.99</v>
      </c>
      <c r="E231" s="4">
        <v>200.4</v>
      </c>
      <c r="F231" t="s">
        <v>18</v>
      </c>
      <c r="G231" t="s">
        <v>37</v>
      </c>
      <c r="H231" t="s">
        <v>23</v>
      </c>
      <c r="I231" t="s">
        <v>24</v>
      </c>
      <c r="J231">
        <f t="shared" si="3"/>
        <v>999.99600000000009</v>
      </c>
    </row>
    <row r="232" spans="1:10" x14ac:dyDescent="0.25">
      <c r="A232">
        <v>10690</v>
      </c>
      <c r="B232" s="1">
        <v>44920</v>
      </c>
      <c r="C232" t="s">
        <v>21</v>
      </c>
      <c r="D232" s="4">
        <v>12.99</v>
      </c>
      <c r="E232" s="4">
        <v>677.44</v>
      </c>
      <c r="F232" t="s">
        <v>18</v>
      </c>
      <c r="G232" t="s">
        <v>37</v>
      </c>
      <c r="H232" t="s">
        <v>23</v>
      </c>
      <c r="I232" t="s">
        <v>24</v>
      </c>
      <c r="J232">
        <f t="shared" si="3"/>
        <v>8799.9456000000009</v>
      </c>
    </row>
    <row r="233" spans="1:10" x14ac:dyDescent="0.25">
      <c r="A233">
        <v>10691</v>
      </c>
      <c r="B233" s="1">
        <v>44920</v>
      </c>
      <c r="C233" t="s">
        <v>25</v>
      </c>
      <c r="D233" s="4">
        <v>9.9499999999999993</v>
      </c>
      <c r="E233" s="4">
        <v>261.31</v>
      </c>
      <c r="F233" t="s">
        <v>18</v>
      </c>
      <c r="G233" t="s">
        <v>37</v>
      </c>
      <c r="H233" t="s">
        <v>23</v>
      </c>
      <c r="I233" t="s">
        <v>24</v>
      </c>
      <c r="J233">
        <f t="shared" si="3"/>
        <v>2600.0344999999998</v>
      </c>
    </row>
    <row r="234" spans="1:10" x14ac:dyDescent="0.25">
      <c r="A234">
        <v>10692</v>
      </c>
      <c r="B234" s="1">
        <v>44920</v>
      </c>
      <c r="C234" t="s">
        <v>9</v>
      </c>
      <c r="D234" s="4">
        <v>3.49</v>
      </c>
      <c r="E234" s="4">
        <v>630.37</v>
      </c>
      <c r="F234" t="s">
        <v>18</v>
      </c>
      <c r="G234" t="s">
        <v>37</v>
      </c>
      <c r="H234" t="s">
        <v>23</v>
      </c>
      <c r="I234" t="s">
        <v>24</v>
      </c>
      <c r="J234">
        <f t="shared" si="3"/>
        <v>2199.9913000000001</v>
      </c>
    </row>
    <row r="235" spans="1:10" x14ac:dyDescent="0.25">
      <c r="A235">
        <v>10693</v>
      </c>
      <c r="B235" s="1">
        <v>44920</v>
      </c>
      <c r="C235" t="s">
        <v>14</v>
      </c>
      <c r="D235" s="4">
        <v>2.95</v>
      </c>
      <c r="E235" s="4">
        <v>677.97</v>
      </c>
      <c r="F235" t="s">
        <v>18</v>
      </c>
      <c r="G235" t="s">
        <v>37</v>
      </c>
      <c r="H235" t="s">
        <v>23</v>
      </c>
      <c r="I235" t="s">
        <v>24</v>
      </c>
      <c r="J235">
        <f t="shared" si="3"/>
        <v>2000.0115000000003</v>
      </c>
    </row>
    <row r="236" spans="1:10" x14ac:dyDescent="0.25">
      <c r="A236">
        <v>10694</v>
      </c>
      <c r="B236" s="1">
        <v>44920</v>
      </c>
      <c r="C236" t="s">
        <v>17</v>
      </c>
      <c r="D236" s="4">
        <v>4.99</v>
      </c>
      <c r="E236" s="4">
        <v>200.4</v>
      </c>
      <c r="F236" t="s">
        <v>18</v>
      </c>
      <c r="G236" t="s">
        <v>37</v>
      </c>
      <c r="H236" t="s">
        <v>23</v>
      </c>
      <c r="I236" t="s">
        <v>24</v>
      </c>
      <c r="J236">
        <f t="shared" si="3"/>
        <v>999.99600000000009</v>
      </c>
    </row>
    <row r="237" spans="1:10" x14ac:dyDescent="0.25">
      <c r="A237">
        <v>10695</v>
      </c>
      <c r="B237" s="1">
        <v>44921</v>
      </c>
      <c r="C237" t="s">
        <v>21</v>
      </c>
      <c r="D237" s="4">
        <v>12.99</v>
      </c>
      <c r="E237" s="4">
        <v>692.84</v>
      </c>
      <c r="F237" t="s">
        <v>18</v>
      </c>
      <c r="G237" t="s">
        <v>37</v>
      </c>
      <c r="H237" t="s">
        <v>23</v>
      </c>
      <c r="I237" t="s">
        <v>24</v>
      </c>
      <c r="J237">
        <f t="shared" si="3"/>
        <v>8999.9916000000012</v>
      </c>
    </row>
    <row r="238" spans="1:10" x14ac:dyDescent="0.25">
      <c r="A238">
        <v>10696</v>
      </c>
      <c r="B238" s="1">
        <v>44921</v>
      </c>
      <c r="C238" t="s">
        <v>25</v>
      </c>
      <c r="D238" s="4">
        <v>9.9499999999999993</v>
      </c>
      <c r="E238" s="4">
        <v>281.41000000000003</v>
      </c>
      <c r="F238" t="s">
        <v>18</v>
      </c>
      <c r="G238" t="s">
        <v>37</v>
      </c>
      <c r="H238" t="s">
        <v>23</v>
      </c>
      <c r="I238" t="s">
        <v>24</v>
      </c>
      <c r="J238">
        <f t="shared" si="3"/>
        <v>2800.0295000000001</v>
      </c>
    </row>
    <row r="239" spans="1:10" x14ac:dyDescent="0.25">
      <c r="A239">
        <v>10697</v>
      </c>
      <c r="B239" s="1">
        <v>44921</v>
      </c>
      <c r="C239" t="s">
        <v>9</v>
      </c>
      <c r="D239" s="4">
        <v>3.49</v>
      </c>
      <c r="E239" s="4">
        <v>630.37</v>
      </c>
      <c r="F239" t="s">
        <v>18</v>
      </c>
      <c r="G239" t="s">
        <v>37</v>
      </c>
      <c r="H239" t="s">
        <v>23</v>
      </c>
      <c r="I239" t="s">
        <v>24</v>
      </c>
      <c r="J239">
        <f t="shared" si="3"/>
        <v>2199.9913000000001</v>
      </c>
    </row>
    <row r="240" spans="1:10" x14ac:dyDescent="0.25">
      <c r="A240">
        <v>10698</v>
      </c>
      <c r="B240" s="1">
        <v>44921</v>
      </c>
      <c r="C240" t="s">
        <v>14</v>
      </c>
      <c r="D240" s="4">
        <v>2.95</v>
      </c>
      <c r="E240" s="4">
        <v>677.97</v>
      </c>
      <c r="F240" t="s">
        <v>18</v>
      </c>
      <c r="G240" t="s">
        <v>37</v>
      </c>
      <c r="H240" t="s">
        <v>23</v>
      </c>
      <c r="I240" t="s">
        <v>24</v>
      </c>
      <c r="J240">
        <f t="shared" si="3"/>
        <v>2000.0115000000003</v>
      </c>
    </row>
    <row r="241" spans="1:10" x14ac:dyDescent="0.25">
      <c r="A241">
        <v>10699</v>
      </c>
      <c r="B241" s="1">
        <v>44921</v>
      </c>
      <c r="C241" t="s">
        <v>17</v>
      </c>
      <c r="D241" s="4">
        <v>4.99</v>
      </c>
      <c r="E241" s="4">
        <v>200.4</v>
      </c>
      <c r="F241" t="s">
        <v>18</v>
      </c>
      <c r="G241" t="s">
        <v>37</v>
      </c>
      <c r="H241" t="s">
        <v>23</v>
      </c>
      <c r="I241" t="s">
        <v>24</v>
      </c>
      <c r="J241">
        <f t="shared" si="3"/>
        <v>999.99600000000009</v>
      </c>
    </row>
    <row r="242" spans="1:10" x14ac:dyDescent="0.25">
      <c r="A242">
        <v>10700</v>
      </c>
      <c r="B242" s="1">
        <v>44922</v>
      </c>
      <c r="C242" t="s">
        <v>21</v>
      </c>
      <c r="D242" s="4">
        <v>12.99</v>
      </c>
      <c r="E242" s="4">
        <v>692.84</v>
      </c>
      <c r="F242" t="s">
        <v>18</v>
      </c>
      <c r="G242" t="s">
        <v>37</v>
      </c>
      <c r="H242" t="s">
        <v>23</v>
      </c>
      <c r="I242" t="s">
        <v>24</v>
      </c>
      <c r="J242">
        <f t="shared" si="3"/>
        <v>8999.9916000000012</v>
      </c>
    </row>
    <row r="243" spans="1:10" x14ac:dyDescent="0.25">
      <c r="A243">
        <v>10701</v>
      </c>
      <c r="B243" s="1">
        <v>44922</v>
      </c>
      <c r="C243" t="s">
        <v>25</v>
      </c>
      <c r="D243" s="4">
        <v>9.9499999999999993</v>
      </c>
      <c r="E243" s="4">
        <v>281.41000000000003</v>
      </c>
      <c r="F243" t="s">
        <v>18</v>
      </c>
      <c r="G243" t="s">
        <v>37</v>
      </c>
      <c r="H243" t="s">
        <v>23</v>
      </c>
      <c r="I243" t="s">
        <v>24</v>
      </c>
      <c r="J243">
        <f t="shared" si="3"/>
        <v>2800.0295000000001</v>
      </c>
    </row>
    <row r="244" spans="1:10" x14ac:dyDescent="0.25">
      <c r="A244">
        <v>10702</v>
      </c>
      <c r="B244" s="1">
        <v>44922</v>
      </c>
      <c r="C244" t="s">
        <v>9</v>
      </c>
      <c r="D244" s="4">
        <v>3.49</v>
      </c>
      <c r="E244" s="4">
        <v>630.37</v>
      </c>
      <c r="F244" t="s">
        <v>18</v>
      </c>
      <c r="G244" t="s">
        <v>37</v>
      </c>
      <c r="H244" t="s">
        <v>23</v>
      </c>
      <c r="I244" t="s">
        <v>24</v>
      </c>
      <c r="J244">
        <f t="shared" si="3"/>
        <v>2199.9913000000001</v>
      </c>
    </row>
    <row r="245" spans="1:10" x14ac:dyDescent="0.25">
      <c r="A245">
        <v>10703</v>
      </c>
      <c r="B245" s="1">
        <v>44922</v>
      </c>
      <c r="C245" t="s">
        <v>14</v>
      </c>
      <c r="D245" s="4">
        <v>2.95</v>
      </c>
      <c r="E245" s="4">
        <v>677.97</v>
      </c>
      <c r="F245" t="s">
        <v>18</v>
      </c>
      <c r="G245" t="s">
        <v>11</v>
      </c>
      <c r="H245" t="s">
        <v>23</v>
      </c>
      <c r="I245" t="s">
        <v>24</v>
      </c>
      <c r="J245">
        <f t="shared" si="3"/>
        <v>2000.0115000000003</v>
      </c>
    </row>
    <row r="246" spans="1:10" x14ac:dyDescent="0.25">
      <c r="A246">
        <v>10704</v>
      </c>
      <c r="B246" s="1">
        <v>44922</v>
      </c>
      <c r="C246" t="s">
        <v>17</v>
      </c>
      <c r="D246" s="4">
        <v>4.99</v>
      </c>
      <c r="E246" s="4">
        <v>200.4</v>
      </c>
      <c r="F246" t="s">
        <v>36</v>
      </c>
      <c r="G246" t="s">
        <v>11</v>
      </c>
      <c r="H246" t="s">
        <v>23</v>
      </c>
      <c r="I246" t="s">
        <v>24</v>
      </c>
      <c r="J246">
        <f t="shared" si="3"/>
        <v>999.99600000000009</v>
      </c>
    </row>
    <row r="247" spans="1:10" x14ac:dyDescent="0.25">
      <c r="A247">
        <v>10705</v>
      </c>
      <c r="B247" s="1">
        <v>44923</v>
      </c>
      <c r="C247" t="s">
        <v>21</v>
      </c>
      <c r="D247" s="4">
        <v>12.99</v>
      </c>
      <c r="E247" s="4">
        <v>723.63</v>
      </c>
      <c r="F247" t="s">
        <v>36</v>
      </c>
      <c r="G247" t="s">
        <v>11</v>
      </c>
      <c r="H247" t="s">
        <v>23</v>
      </c>
      <c r="I247" t="s">
        <v>24</v>
      </c>
      <c r="J247">
        <f t="shared" si="3"/>
        <v>9399.9537</v>
      </c>
    </row>
    <row r="248" spans="1:10" x14ac:dyDescent="0.25">
      <c r="A248">
        <v>10706</v>
      </c>
      <c r="B248" s="1">
        <v>44923</v>
      </c>
      <c r="C248" t="s">
        <v>25</v>
      </c>
      <c r="D248" s="4">
        <v>9.9499999999999993</v>
      </c>
      <c r="E248" s="4">
        <v>301.51</v>
      </c>
      <c r="F248" t="s">
        <v>36</v>
      </c>
      <c r="G248" t="s">
        <v>11</v>
      </c>
      <c r="H248" t="s">
        <v>23</v>
      </c>
      <c r="I248" t="s">
        <v>24</v>
      </c>
      <c r="J248">
        <f t="shared" si="3"/>
        <v>3000.0244999999995</v>
      </c>
    </row>
    <row r="249" spans="1:10" x14ac:dyDescent="0.25">
      <c r="A249">
        <v>10707</v>
      </c>
      <c r="B249" s="1">
        <v>44923</v>
      </c>
      <c r="C249" t="s">
        <v>9</v>
      </c>
      <c r="D249" s="4">
        <v>3.49</v>
      </c>
      <c r="E249" s="4">
        <v>630.37</v>
      </c>
      <c r="F249" t="s">
        <v>36</v>
      </c>
      <c r="G249" t="s">
        <v>11</v>
      </c>
      <c r="H249" t="s">
        <v>23</v>
      </c>
      <c r="I249" t="s">
        <v>24</v>
      </c>
      <c r="J249">
        <f t="shared" si="3"/>
        <v>2199.9913000000001</v>
      </c>
    </row>
    <row r="250" spans="1:10" x14ac:dyDescent="0.25">
      <c r="A250">
        <v>10708</v>
      </c>
      <c r="B250" s="1">
        <v>44923</v>
      </c>
      <c r="C250" t="s">
        <v>14</v>
      </c>
      <c r="D250" s="4">
        <v>2.95</v>
      </c>
      <c r="E250" s="4">
        <v>677.97</v>
      </c>
      <c r="F250" t="s">
        <v>36</v>
      </c>
      <c r="G250" t="s">
        <v>11</v>
      </c>
      <c r="H250" t="s">
        <v>23</v>
      </c>
      <c r="I250" t="s">
        <v>24</v>
      </c>
      <c r="J250">
        <f t="shared" si="3"/>
        <v>2000.0115000000003</v>
      </c>
    </row>
    <row r="251" spans="1:10" x14ac:dyDescent="0.25">
      <c r="A251">
        <v>10709</v>
      </c>
      <c r="B251" s="1">
        <v>44923</v>
      </c>
      <c r="C251" t="s">
        <v>17</v>
      </c>
      <c r="D251" s="4">
        <v>4.99</v>
      </c>
      <c r="E251" s="4">
        <v>200.4</v>
      </c>
      <c r="F251" t="s">
        <v>36</v>
      </c>
      <c r="G251" t="s">
        <v>11</v>
      </c>
      <c r="H251" t="s">
        <v>23</v>
      </c>
      <c r="I251" t="s">
        <v>24</v>
      </c>
      <c r="J251">
        <f t="shared" si="3"/>
        <v>999.99600000000009</v>
      </c>
    </row>
    <row r="252" spans="1:10" x14ac:dyDescent="0.25">
      <c r="A252">
        <v>10710</v>
      </c>
      <c r="B252" s="1">
        <v>44924</v>
      </c>
      <c r="C252" t="s">
        <v>21</v>
      </c>
      <c r="D252" s="4">
        <v>12.99</v>
      </c>
      <c r="E252" s="4">
        <v>754.43</v>
      </c>
      <c r="F252" t="s">
        <v>36</v>
      </c>
      <c r="G252" t="s">
        <v>11</v>
      </c>
      <c r="H252" t="s">
        <v>23</v>
      </c>
      <c r="I252" t="s">
        <v>24</v>
      </c>
      <c r="J252">
        <f t="shared" si="3"/>
        <v>9800.0456999999988</v>
      </c>
    </row>
    <row r="253" spans="1:10" x14ac:dyDescent="0.25">
      <c r="A253">
        <v>10711</v>
      </c>
      <c r="B253" s="1">
        <v>44924</v>
      </c>
      <c r="C253" t="s">
        <v>25</v>
      </c>
      <c r="D253" s="4">
        <v>9.9499999999999993</v>
      </c>
      <c r="E253" s="4">
        <v>281.41000000000003</v>
      </c>
      <c r="F253" t="s">
        <v>36</v>
      </c>
      <c r="G253" t="s">
        <v>11</v>
      </c>
      <c r="H253" t="s">
        <v>23</v>
      </c>
      <c r="I253" t="s">
        <v>24</v>
      </c>
      <c r="J253">
        <f t="shared" si="3"/>
        <v>2800.0295000000001</v>
      </c>
    </row>
    <row r="254" spans="1:10" x14ac:dyDescent="0.25">
      <c r="A254">
        <v>10712</v>
      </c>
      <c r="B254" s="1">
        <v>44924</v>
      </c>
      <c r="C254" t="s">
        <v>9</v>
      </c>
      <c r="D254" s="4">
        <v>3.49</v>
      </c>
      <c r="E254" s="4">
        <v>630.37</v>
      </c>
      <c r="F254" t="s">
        <v>36</v>
      </c>
      <c r="G254" t="s">
        <v>11</v>
      </c>
      <c r="H254" t="s">
        <v>23</v>
      </c>
      <c r="I254" t="s">
        <v>24</v>
      </c>
      <c r="J254">
        <f t="shared" si="3"/>
        <v>2199.9913000000001</v>
      </c>
    </row>
    <row r="255" spans="1:10" x14ac:dyDescent="0.25">
      <c r="A255">
        <v>10713</v>
      </c>
      <c r="B255" s="1">
        <v>44924</v>
      </c>
      <c r="C255" t="s">
        <v>14</v>
      </c>
      <c r="D255" s="4">
        <v>2.95</v>
      </c>
      <c r="E255" s="4">
        <v>677.97</v>
      </c>
      <c r="F255" t="s">
        <v>36</v>
      </c>
      <c r="G255" t="s">
        <v>11</v>
      </c>
      <c r="H255" t="s">
        <v>23</v>
      </c>
      <c r="I255" t="s">
        <v>24</v>
      </c>
      <c r="J255">
        <f t="shared" si="3"/>
        <v>2000.0115000000003</v>
      </c>
    </row>
  </sheetData>
  <phoneticPr fontId="1"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26650-F67A-47B7-9228-CDE473131694}">
  <dimension ref="G20"/>
  <sheetViews>
    <sheetView showGridLines="0" tabSelected="1" topLeftCell="B1" zoomScale="71" workbookViewId="0">
      <selection activeCell="X45" sqref="X45"/>
    </sheetView>
  </sheetViews>
  <sheetFormatPr defaultRowHeight="13.8" x14ac:dyDescent="0.25"/>
  <sheetData>
    <row r="20" spans="7:7" x14ac:dyDescent="0.25">
      <c r="G20"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BFC58D-F7DB-41C1-B43A-BDF9F1474A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Most selling Product</vt:lpstr>
      <vt:lpstr>Payment method</vt:lpstr>
      <vt:lpstr>City with Max revenue</vt:lpstr>
      <vt:lpstr>Month wise revenue</vt:lpstr>
      <vt:lpstr>Average of revenue</vt:lpstr>
      <vt:lpstr>9  Sales-Data-Analysis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Priyadharshini Kanagaraj</dc:creator>
  <cp:lastModifiedBy>Priyadharshini Kanagaraj</cp:lastModifiedBy>
  <dcterms:created xsi:type="dcterms:W3CDTF">2025-12-10T05:16:57Z</dcterms:created>
  <dcterms:modified xsi:type="dcterms:W3CDTF">2025-12-20T10:25:03Z</dcterms:modified>
</cp:coreProperties>
</file>